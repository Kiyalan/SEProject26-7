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ASUS\Projects\SEProject26-7\"/>
    </mc:Choice>
  </mc:AlternateContent>
  <xr:revisionPtr revIDLastSave="0" documentId="13_ncr:1_{4CDED33C-83D6-4627-955C-F37A5B311479}" xr6:coauthVersionLast="47" xr6:coauthVersionMax="47" xr10:uidLastSave="{00000000-0000-0000-0000-000000000000}"/>
  <bookViews>
    <workbookView xWindow="-110" yWindow="-110" windowWidth="25820" windowHeight="16220" activeTab="1" xr2:uid="{00000000-000D-0000-FFFF-FFFF00000000}"/>
  </bookViews>
  <sheets>
    <sheet name="Information" sheetId="7" r:id="rId1"/>
    <sheet name="Test Cases" sheetId="8" r:id="rId2"/>
    <sheet name="常用测试方法" sheetId="3" r:id="rId3"/>
  </sheets>
  <definedNames>
    <definedName name="安装测试用例常用测试项">常用测试方法!#REF!</definedName>
    <definedName name="单元测试用例常用测试项">常用测试方法!#REF!</definedName>
    <definedName name="功能测试用例常用测试项">常用测试方法!#REF!</definedName>
    <definedName name="界面测试用例常用测试项">常用测试方法!#REF!</definedName>
    <definedName name="压力测试用例常用测试项">常用测试方法!#REF!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7" l="1"/>
  <c r="E23" i="7"/>
  <c r="D23" i="7"/>
  <c r="E22" i="7"/>
  <c r="E25" i="7"/>
  <c r="E21" i="7"/>
  <c r="D21" i="7"/>
  <c r="E27" i="7"/>
  <c r="E20" i="7"/>
  <c r="E26" i="7"/>
  <c r="F26" i="7" s="1"/>
  <c r="F23" i="7" l="1"/>
  <c r="F22" i="7"/>
  <c r="F24" i="7"/>
  <c r="F21" i="7"/>
  <c r="F25" i="7"/>
  <c r="D27" i="7"/>
  <c r="F27" i="7" s="1"/>
  <c r="F20" i="7"/>
</calcChain>
</file>

<file path=xl/sharedStrings.xml><?xml version="1.0" encoding="utf-8"?>
<sst xmlns="http://schemas.openxmlformats.org/spreadsheetml/2006/main" count="486" uniqueCount="312">
  <si>
    <t>仅供收件方查阅</t>
    <phoneticPr fontId="2" type="noConversion"/>
  </si>
  <si>
    <r>
      <t>测试用例</t>
    </r>
    <r>
      <rPr>
        <b/>
        <sz val="20"/>
        <rFont val="Times New Roman"/>
        <family val="1"/>
      </rPr>
      <t xml:space="preserve"> </t>
    </r>
    <phoneticPr fontId="2" type="noConversion"/>
  </si>
  <si>
    <t>OK</t>
    <phoneticPr fontId="2" type="noConversion"/>
  </si>
  <si>
    <t>POK</t>
    <phoneticPr fontId="2" type="noConversion"/>
  </si>
  <si>
    <t>NG</t>
    <phoneticPr fontId="2" type="noConversion"/>
  </si>
  <si>
    <r>
      <t xml:space="preserve">Revision Record </t>
    </r>
    <r>
      <rPr>
        <sz val="12"/>
        <rFont val="宋体"/>
        <charset val="134"/>
      </rPr>
      <t>修订记录</t>
    </r>
  </si>
  <si>
    <r>
      <t xml:space="preserve">Revision Version </t>
    </r>
    <r>
      <rPr>
        <sz val="12"/>
        <rFont val="宋体"/>
        <charset val="134"/>
      </rPr>
      <t>修订</t>
    </r>
    <r>
      <rPr>
        <sz val="12"/>
        <rFont val="Times New Roman"/>
        <family val="1"/>
      </rPr>
      <t xml:space="preserve"> </t>
    </r>
    <r>
      <rPr>
        <sz val="12"/>
        <rFont val="宋体"/>
        <charset val="134"/>
      </rPr>
      <t>版本</t>
    </r>
  </si>
  <si>
    <t>1.00</t>
    <phoneticPr fontId="2" type="noConversion"/>
  </si>
  <si>
    <t>测试用例详情</t>
    <phoneticPr fontId="2" type="noConversion"/>
  </si>
  <si>
    <t>文档帮助</t>
    <phoneticPr fontId="2" type="noConversion"/>
  </si>
  <si>
    <t>功能测试</t>
    <phoneticPr fontId="2" type="noConversion"/>
  </si>
  <si>
    <t>部署测试</t>
    <phoneticPr fontId="2" type="noConversion"/>
  </si>
  <si>
    <r>
      <t xml:space="preserve">Prepared by 
</t>
    </r>
    <r>
      <rPr>
        <sz val="12"/>
        <rFont val="宋体"/>
        <charset val="134"/>
      </rPr>
      <t>拟制</t>
    </r>
    <phoneticPr fontId="2" type="noConversion"/>
  </si>
  <si>
    <r>
      <t xml:space="preserve">Date
</t>
    </r>
    <r>
      <rPr>
        <sz val="12"/>
        <rFont val="宋体"/>
        <charset val="134"/>
      </rPr>
      <t>日期</t>
    </r>
    <phoneticPr fontId="2" type="noConversion"/>
  </si>
  <si>
    <r>
      <t xml:space="preserve">Reviewed by 
</t>
    </r>
    <r>
      <rPr>
        <sz val="12"/>
        <rFont val="宋体"/>
        <charset val="134"/>
      </rPr>
      <t>评审人</t>
    </r>
    <phoneticPr fontId="2" type="noConversion"/>
  </si>
  <si>
    <r>
      <t xml:space="preserve">Approved by
</t>
    </r>
    <r>
      <rPr>
        <sz val="12"/>
        <rFont val="宋体"/>
        <charset val="134"/>
      </rPr>
      <t>批准</t>
    </r>
    <phoneticPr fontId="2" type="noConversion"/>
  </si>
  <si>
    <t>类别</t>
    <phoneticPr fontId="2" type="noConversion"/>
  </si>
  <si>
    <t>通过数</t>
    <phoneticPr fontId="2" type="noConversion"/>
  </si>
  <si>
    <t>用例数</t>
    <phoneticPr fontId="2" type="noConversion"/>
  </si>
  <si>
    <t>通过率</t>
    <phoneticPr fontId="2" type="noConversion"/>
  </si>
  <si>
    <t>项目编号
Project ID</t>
    <phoneticPr fontId="2" type="noConversion"/>
  </si>
  <si>
    <t>版本
version</t>
    <phoneticPr fontId="2" type="noConversion"/>
  </si>
  <si>
    <r>
      <rPr>
        <sz val="12"/>
        <rFont val="宋体"/>
        <charset val="134"/>
      </rPr>
      <t xml:space="preserve">文档编号
</t>
    </r>
    <r>
      <rPr>
        <sz val="12"/>
        <rFont val="Times New Roman"/>
        <family val="1"/>
      </rPr>
      <t>Document Code</t>
    </r>
    <phoneticPr fontId="2" type="noConversion"/>
  </si>
  <si>
    <t>项目名称
Project Name</t>
    <phoneticPr fontId="2" type="noConversion"/>
  </si>
  <si>
    <t>密级
Confidentiality Level</t>
    <phoneticPr fontId="2" type="noConversion"/>
  </si>
  <si>
    <r>
      <t xml:space="preserve">Date
 </t>
    </r>
    <r>
      <rPr>
        <sz val="12"/>
        <rFont val="宋体"/>
        <charset val="134"/>
      </rPr>
      <t>日期</t>
    </r>
    <r>
      <rPr>
        <sz val="12"/>
        <rFont val="Times New Roman"/>
        <family val="1"/>
      </rPr>
      <t xml:space="preserve"> </t>
    </r>
    <phoneticPr fontId="2" type="noConversion"/>
  </si>
  <si>
    <r>
      <t xml:space="preserve">Change Description
 </t>
    </r>
    <r>
      <rPr>
        <sz val="12"/>
        <rFont val="宋体"/>
        <charset val="134"/>
      </rPr>
      <t>修改描述</t>
    </r>
    <phoneticPr fontId="2" type="noConversion"/>
  </si>
  <si>
    <r>
      <t xml:space="preserve">Author
 </t>
    </r>
    <r>
      <rPr>
        <sz val="12"/>
        <rFont val="宋体"/>
        <charset val="134"/>
      </rPr>
      <t>作者</t>
    </r>
    <phoneticPr fontId="2" type="noConversion"/>
  </si>
  <si>
    <t>功能测试</t>
  </si>
  <si>
    <t>功能测试</t>
    <phoneticPr fontId="2" type="noConversion"/>
  </si>
  <si>
    <t>部署测试</t>
    <phoneticPr fontId="2" type="noConversion"/>
  </si>
  <si>
    <t>合计</t>
    <phoneticPr fontId="2" type="noConversion"/>
  </si>
  <si>
    <t>测试结果分析</t>
    <phoneticPr fontId="2" type="noConversion"/>
  </si>
  <si>
    <t>1.0</t>
    <phoneticPr fontId="2" type="noConversion"/>
  </si>
  <si>
    <t>中</t>
  </si>
  <si>
    <t>性能测试</t>
    <phoneticPr fontId="2" type="noConversion"/>
  </si>
  <si>
    <t>易用性测试</t>
    <phoneticPr fontId="2" type="noConversion"/>
  </si>
  <si>
    <t>可靠性测试</t>
    <phoneticPr fontId="2" type="noConversion"/>
  </si>
  <si>
    <t>安全性测试</t>
    <phoneticPr fontId="2" type="noConversion"/>
  </si>
  <si>
    <t>兼容性测试</t>
    <phoneticPr fontId="2" type="noConversion"/>
  </si>
  <si>
    <t>Shanghai Jiao Tong University
上海交通大学 
上海市闵行区东川路800号</t>
    <phoneticPr fontId="2" type="noConversion"/>
  </si>
  <si>
    <r>
      <t xml:space="preserve">initial </t>
    </r>
    <r>
      <rPr>
        <sz val="12"/>
        <color indexed="48"/>
        <rFont val="宋体"/>
        <charset val="134"/>
      </rPr>
      <t>初稿完成</t>
    </r>
    <phoneticPr fontId="2" type="noConversion"/>
  </si>
  <si>
    <t>yyyy-mm-dd</t>
    <phoneticPr fontId="2" type="noConversion"/>
  </si>
  <si>
    <r>
      <t xml:space="preserve">Name </t>
    </r>
    <r>
      <rPr>
        <sz val="12"/>
        <color rgb="FF3366FF"/>
        <rFont val="微软雅黑"/>
        <family val="1"/>
        <charset val="134"/>
      </rPr>
      <t>作者名</t>
    </r>
    <phoneticPr fontId="2" type="noConversion"/>
  </si>
  <si>
    <t>2024/11/31</t>
    <phoneticPr fontId="2" type="noConversion"/>
  </si>
  <si>
    <t>性能测试</t>
  </si>
  <si>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phoneticPr fontId="2" type="noConversion"/>
  </si>
  <si>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phoneticPr fontId="2" type="noConversion"/>
  </si>
  <si>
    <t>首次安装测试、升级安装测试、卸装测试</t>
    <phoneticPr fontId="2" type="noConversion"/>
  </si>
  <si>
    <r>
      <t>关注故障的避免、预防、容错和恢复：通过自然方式和故障注入方式来触发和激活系统中的故障来测试。
常用指标：可用性Availability、</t>
    </r>
    <r>
      <rPr>
        <sz val="10.5"/>
        <rFont val="宋体"/>
        <charset val="134"/>
      </rPr>
      <t>平均故障间隔时间</t>
    </r>
    <r>
      <rPr>
        <sz val="10.5"/>
        <rFont val="宋体"/>
        <family val="3"/>
        <charset val="134"/>
      </rPr>
      <t>MTBF、平均故障修复时间MTTR。</t>
    </r>
    <phoneticPr fontId="2" type="noConversion"/>
  </si>
  <si>
    <r>
      <t>测试在规定条件(如并发数、数据量)</t>
    </r>
    <r>
      <rPr>
        <sz val="10.5"/>
        <rFont val="宋体"/>
        <charset val="134"/>
      </rPr>
      <t>下，软件执行其功能时，提供适当的响应和处理时间以及吞吐率的能力，</t>
    </r>
    <r>
      <rPr>
        <sz val="10.5"/>
        <rFont val="宋体"/>
        <family val="3"/>
        <charset val="134"/>
      </rPr>
      <t>以及</t>
    </r>
    <r>
      <rPr>
        <sz val="10.5"/>
        <rFont val="宋体"/>
        <charset val="134"/>
      </rPr>
      <t>CPU、内存、网络等</t>
    </r>
    <r>
      <rPr>
        <sz val="10.5"/>
        <rFont val="宋体"/>
        <family val="3"/>
        <charset val="134"/>
      </rPr>
      <t>资源的使用情况</t>
    </r>
    <r>
      <rPr>
        <sz val="10.5"/>
        <rFont val="宋体"/>
        <charset val="134"/>
      </rPr>
      <t>。</t>
    </r>
    <r>
      <rPr>
        <sz val="10.5"/>
        <rFont val="宋体"/>
        <family val="3"/>
        <charset val="134"/>
      </rPr>
      <t>通常采用性能测试工具来模拟多个并发用户进行测试。</t>
    </r>
    <phoneticPr fontId="2" type="noConversion"/>
  </si>
  <si>
    <t>采用场景法测试所有用例的所有事件流；
采用等价类划分、边界值分析、判定表法、错误猜测法等进行输入输出的测试。</t>
    <phoneticPr fontId="2" type="noConversion"/>
  </si>
  <si>
    <t>测试与其他软件或硬件的兼容。
例如系统前端与各种Web浏览器及各版本与各分辨率的兼容，系统后端与各种操作系统及数据库的兼容。</t>
    <phoneticPr fontId="2" type="noConversion"/>
  </si>
  <si>
    <t>测试类型</t>
    <phoneticPr fontId="2" type="noConversion"/>
  </si>
  <si>
    <t>常用测试方法</t>
    <phoneticPr fontId="2" type="noConversion"/>
  </si>
  <si>
    <t>安全性测试</t>
  </si>
  <si>
    <t>兼容性测试</t>
  </si>
  <si>
    <t>易用性测试</t>
  </si>
  <si>
    <t>TC-001</t>
    <phoneticPr fontId="19" type="noConversion"/>
  </si>
  <si>
    <r>
      <t>TC-002</t>
    </r>
    <r>
      <rPr>
        <sz val="11"/>
        <rFont val="宋体"/>
        <family val="3"/>
        <charset val="134"/>
      </rPr>
      <t/>
    </r>
    <phoneticPr fontId="2" type="noConversion"/>
  </si>
  <si>
    <t>TC-003</t>
  </si>
  <si>
    <t>TC-004</t>
    <phoneticPr fontId="2" type="noConversion"/>
  </si>
  <si>
    <t>TC-005</t>
    <phoneticPr fontId="2" type="noConversion"/>
  </si>
  <si>
    <t>TC-006</t>
    <phoneticPr fontId="2" type="noConversion"/>
  </si>
  <si>
    <t>TC-007</t>
    <phoneticPr fontId="2" type="noConversion"/>
  </si>
  <si>
    <t>TC-008</t>
    <phoneticPr fontId="2" type="noConversion"/>
  </si>
  <si>
    <t>TC-011</t>
  </si>
  <si>
    <t>TC-012</t>
  </si>
  <si>
    <t>TC-009</t>
    <phoneticPr fontId="2" type="noConversion"/>
  </si>
  <si>
    <t>GitHub仓库智能知识库与问答系统</t>
    <phoneticPr fontId="2" type="noConversion"/>
  </si>
  <si>
    <t>SEProject26-7</t>
    <phoneticPr fontId="2" type="noConversion"/>
  </si>
  <si>
    <t>SEProject26-7_PI_001</t>
    <phoneticPr fontId="2" type="noConversion"/>
  </si>
  <si>
    <t xml:space="preserve"> System Test Case Form
系统测试用例</t>
    <phoneticPr fontId="2" type="noConversion"/>
  </si>
  <si>
    <t>用户认证</t>
  </si>
  <si>
    <t>测试GitHub OAuth正常登录</t>
  </si>
  <si>
    <t>高</t>
  </si>
  <si>
    <t>浏览器可访问系统首页，GitHub OAuth App已配置</t>
    <phoneticPr fontId="26" type="noConversion"/>
  </si>
  <si>
    <t>1. 点击"使用 GitHub 登录"按钮
2. 在GitHub授权页面确认授权
3. 等待跳转回系统</t>
    <phoneticPr fontId="26" type="noConversion"/>
  </si>
  <si>
    <t>成功跳转至系统首页，页面显示用户GitHub头像和用户名</t>
  </si>
  <si>
    <t>测试GitHub授权拒绝</t>
  </si>
  <si>
    <t>浏览器可访问系统登录页</t>
    <phoneticPr fontId="26" type="noConversion"/>
  </si>
  <si>
    <t>1. 点击"使用 GitHub 登录"按钮
2. 在GitHub授权页面点击"取消"</t>
    <phoneticPr fontId="26" type="noConversion"/>
  </si>
  <si>
    <t>跳转回登录页，显示"GitHub 授权失败"提示</t>
  </si>
  <si>
    <t>测试未配置OAuth时的登录</t>
  </si>
  <si>
    <t>backend/.env未配置GitHub OAuth</t>
  </si>
  <si>
    <t>1. 点击"使用 GitHub 登录"按钮</t>
  </si>
  <si>
    <t>显示配置错误提示，指导用户在.env中配置OAuth</t>
  </si>
  <si>
    <t>测试JWT Token鉴权</t>
  </si>
  <si>
    <t>用户已通过GitHub登录获取JWT Token</t>
  </si>
  <si>
    <t>1. 使用有效Token访问/api/user等受保护接口
2. 使用过期或伪造Token访问接口</t>
    <phoneticPr fontId="26" type="noConversion"/>
  </si>
  <si>
    <t>有效Token正常返回数据；无效Token返回401/403</t>
  </si>
  <si>
    <t>测试用户退出</t>
    <phoneticPr fontId="26" type="noConversion"/>
  </si>
  <si>
    <t>用户已登录</t>
  </si>
  <si>
    <t>1. 点击用户头像选择退出
2. 确认退出操作</t>
    <phoneticPr fontId="26" type="noConversion"/>
  </si>
  <si>
    <t>退出登录，跳转至登录页，Token失效</t>
  </si>
  <si>
    <t>仓库管理</t>
  </si>
  <si>
    <t>测试绑定GitHub仓库</t>
  </si>
  <si>
    <t>用户已通过GitHub登录，可访问仓库列表页</t>
  </si>
  <si>
    <t>1. 点击"绑定仓库"按钮
2. 从用户有权限的仓库中选择一个
3. 点击确认绑定</t>
    <phoneticPr fontId="26" type="noConversion"/>
  </si>
  <si>
    <t>仓库绑定成功，开始同步代码并构建知识库</t>
  </si>
  <si>
    <t>测试知识库构建流程</t>
  </si>
  <si>
    <t>已绑定仓库并开始构建</t>
  </si>
  <si>
    <t>1. 查看知识库构建进度页面
2. 等待构建完成或观察进度变化</t>
    <phoneticPr fontId="26" type="noConversion"/>
  </si>
  <si>
    <t>显示构建进度百分比，完成后状态更新为"已完成"</t>
  </si>
  <si>
    <t>测试知识库构建异常处理</t>
  </si>
  <si>
    <t>正在构建知识库</t>
  </si>
  <si>
    <t>1. 构建过程中人为制造网络中断
2. 重新触发构建</t>
    <phoneticPr fontId="26" type="noConversion"/>
  </si>
  <si>
    <t>系统捕获异常不崩溃，支持断点续建</t>
  </si>
  <si>
    <t>测试解绑仓库</t>
  </si>
  <si>
    <t>用户已绑定至少一个仓库</t>
  </si>
  <si>
    <t>1. 进入仓库列表，选择已绑定仓库
2. 点击"解绑"并确认</t>
    <phoneticPr fontId="26" type="noConversion"/>
  </si>
  <si>
    <t>仓库解绑成功，相关知识库数据被清理</t>
  </si>
  <si>
    <t>智能问答</t>
  </si>
  <si>
    <t>测试正常提问获取回答</t>
  </si>
  <si>
    <t>用户已绑定仓库且知识库构建完成</t>
  </si>
  <si>
    <t>1. 在问答输入框输入代码相关问题
2. 点击发送
3. 等待回答生成</t>
    <phoneticPr fontId="26" type="noConversion"/>
  </si>
  <si>
    <t>返回基于知识库的回答，附带源码位置引用，响应时间≤3秒</t>
  </si>
  <si>
    <t>测试跨文件关联问答</t>
  </si>
  <si>
    <t>知识库构建完成</t>
  </si>
  <si>
    <t>1. 输入需要关联多个文件的问题（如调用链路）
2. 点击发送</t>
    <phoneticPr fontId="26" type="noConversion"/>
  </si>
  <si>
    <t>返回包含多个文件关联关系的回答，展示调用链路</t>
  </si>
  <si>
    <t>测试问答空输入验证</t>
  </si>
  <si>
    <t>低</t>
  </si>
  <si>
    <t>1. 在问答输入框不输入内容
2. 直接点击发送</t>
    <phoneticPr fontId="26" type="noConversion"/>
  </si>
  <si>
    <t>提示"请输入问题"，不发送空请求</t>
  </si>
  <si>
    <t>Issue管理</t>
  </si>
  <si>
    <t>测试Issue智能解析</t>
  </si>
  <si>
    <t>用户绑定的仓库包含Issue</t>
  </si>
  <si>
    <t>1. 进入Issue列表页面
2. 选择一个Issue
3. 点击"智能分析"</t>
    <phoneticPr fontId="26" type="noConversion"/>
  </si>
  <si>
    <t>显示Issue摘要，关联匹配相关代码片段</t>
  </si>
  <si>
    <t>FAQ管理</t>
  </si>
  <si>
    <t>测试FAQ自动生成</t>
  </si>
  <si>
    <t>知识库构建完成且有问答历史</t>
  </si>
  <si>
    <t>1. 进入FAQ管理页面
2. 点击"自动生成FAQ"
3. 选择生成数量并确认</t>
    <phoneticPr fontId="26" type="noConversion"/>
  </si>
  <si>
    <t>系统基于知识库自动聚类生成FAQ列表</t>
  </si>
  <si>
    <t>测试FAQ手动编辑</t>
  </si>
  <si>
    <t>FAQ列表已有内容</t>
  </si>
  <si>
    <t>1. 选择一条FAQ
2. 点击编辑
3. 修改内容并保存</t>
    <phoneticPr fontId="26" type="noConversion"/>
  </si>
  <si>
    <t>FAQ更新成功</t>
  </si>
  <si>
    <t>权限管理</t>
  </si>
  <si>
    <t>测试用户数据隔离</t>
  </si>
  <si>
    <t>系统中多个用户各自绑定了仓库</t>
  </si>
  <si>
    <t>1. 用户A登录访问其仓库
2. 用户B登录尝试访问用户A的仓库</t>
    <phoneticPr fontId="26" type="noConversion"/>
  </si>
  <si>
    <t>用户B无法访问用户A的仓库，提示无权限</t>
  </si>
  <si>
    <t>测试管理员权限功能</t>
  </si>
  <si>
    <t>以管理员身份登录运维后台</t>
  </si>
  <si>
    <t>1. 进入用户管理
2. 禁用/启用某用户账号
3. 查看用户状态变化</t>
    <phoneticPr fontId="26" type="noConversion"/>
  </si>
  <si>
    <t>管理员可正常操作用户，被禁用用户无法登录</t>
  </si>
  <si>
    <t>运维审计</t>
  </si>
  <si>
    <t>测试操作日志记录</t>
  </si>
  <si>
    <t>管理员登录</t>
  </si>
  <si>
    <t>1. 执行仓库绑定、问答等操作
2. 进入运维审计页面查看日志</t>
    <phoneticPr fontId="26" type="noConversion"/>
  </si>
  <si>
    <t>操作被完整记录，包含时间、用户、操作类型</t>
  </si>
  <si>
    <t>测试审计日志查询</t>
  </si>
  <si>
    <t>有足够操作日志数据</t>
  </si>
  <si>
    <t>1. 设置时间范围和用户筛选条件
2. 执行分页查询</t>
    <phoneticPr fontId="26" type="noConversion"/>
  </si>
  <si>
    <t>日志按条件分页显示，查询结果准确</t>
  </si>
  <si>
    <t>测试界面操作反馈</t>
  </si>
  <si>
    <t>系统正常运行</t>
  </si>
  <si>
    <t>1. 执行各类操作（绑定仓库、提问等）
2. 观察按钮反馈、加载提示、错误提示</t>
    <phoneticPr fontId="26" type="noConversion"/>
  </si>
  <si>
    <t>所有操作有明确反馈，错误提示准确</t>
  </si>
  <si>
    <t>测试核心功能可达性</t>
  </si>
  <si>
    <t>1. 从首页验证仓库绑定、问答、FAQ等功能的访问路径
2. 记录最少点击次数</t>
  </si>
  <si>
    <t>核心功能三步内可达</t>
  </si>
  <si>
    <t>测试问答结果可读性</t>
  </si>
  <si>
    <t>1. 提问代码问题
2. 检查回答格式和源码引用展示</t>
    <phoneticPr fontId="26" type="noConversion"/>
  </si>
  <si>
    <t>回答格式规范，源码引用清晰</t>
  </si>
  <si>
    <t>测试新手易学性</t>
  </si>
  <si>
    <t>1. 让未使用过系统的开发人员自行探索
2. 观察是否能独立完成绑定仓库、提问等操作</t>
    <phoneticPr fontId="26" type="noConversion"/>
  </si>
  <si>
    <t>新手无需培训可完成基本操作</t>
  </si>
  <si>
    <t>测试Chrome浏览器兼容性</t>
  </si>
  <si>
    <t>系统功能正常运行</t>
  </si>
  <si>
    <t>1. Chrome 125+访问系统
2. 操作所有功能
3. 检查界面显示</t>
    <phoneticPr fontId="26" type="noConversion"/>
  </si>
  <si>
    <t>界面正常显示，所有功能可用</t>
  </si>
  <si>
    <t>测试Firefox浏览器兼容性</t>
  </si>
  <si>
    <t>1. Firefox 126+访问系统
2. 操作所有功能
3. 检查界面显示</t>
    <phoneticPr fontId="26" type="noConversion"/>
  </si>
  <si>
    <t>测试Edge浏览器兼容性</t>
  </si>
  <si>
    <t>1. Edge 125+访问系统
2. 操作所有功能
3. 检查界面显示</t>
    <phoneticPr fontId="26" type="noConversion"/>
  </si>
  <si>
    <t>测试不同分辨率显示</t>
  </si>
  <si>
    <t>1. 1920×1080、2560×1440、3840×2160等分辨率
2. 检查界面显示和布局</t>
    <phoneticPr fontId="26" type="noConversion"/>
  </si>
  <si>
    <t>各分辨率下界面正常，无溢出或遮挡</t>
  </si>
  <si>
    <t>测试服务端操作系统兼容性</t>
  </si>
  <si>
    <t>已完成Docker部署</t>
  </si>
  <si>
    <t>1. Linux服务器部署验证
2. Docker容器运行验证</t>
    <phoneticPr fontId="26" type="noConversion"/>
  </si>
  <si>
    <t>系统可在声明的操作系统上正常运行</t>
  </si>
  <si>
    <t>测试知识库构建性能</t>
  </si>
  <si>
    <t>拥有1万行代码以内的测试仓库</t>
  </si>
  <si>
    <t>1. 绑定测试仓库
2. 启动构建
3. 记录完成时间</t>
    <phoneticPr fontId="26" type="noConversion"/>
  </si>
  <si>
    <t>1万行以内仓库构建≤5分钟</t>
  </si>
  <si>
    <t>测试问答响应时间</t>
  </si>
  <si>
    <t>1. 发送10个标准测试问题
2. 记录响应时间</t>
    <phoneticPr fontId="26" type="noConversion"/>
  </si>
  <si>
    <t>平均响应时间≤3秒</t>
  </si>
  <si>
    <t>测试敏感配置管理</t>
  </si>
  <si>
    <t>1. 检查配置文件和代码
2. 确认敏感信息是否通过环境变量管理</t>
    <phoneticPr fontId="26" type="noConversion"/>
  </si>
  <si>
    <t>敏感配置通过环境变量管理，不硬编码</t>
  </si>
  <si>
    <t>测试GitHub API合规性</t>
  </si>
  <si>
    <t>1. 检查代码中GitHub API调用
2. 验证是否遵循GitHub API使用规范</t>
    <phoneticPr fontId="26" type="noConversion"/>
  </si>
  <si>
    <t>符合GitHub API规范，不涉及未授权爬取</t>
  </si>
  <si>
    <t>TC-016</t>
  </si>
  <si>
    <t>TC-017</t>
  </si>
  <si>
    <t>TC-018</t>
  </si>
  <si>
    <t>TC-019</t>
  </si>
  <si>
    <t>TC-101</t>
  </si>
  <si>
    <t>TC-102</t>
  </si>
  <si>
    <t>TC-103</t>
  </si>
  <si>
    <t>TC-104</t>
  </si>
  <si>
    <t>TC-201</t>
  </si>
  <si>
    <t>TC-202</t>
  </si>
  <si>
    <t>TC-203</t>
  </si>
  <si>
    <t>TC-204</t>
  </si>
  <si>
    <t>TC-205</t>
  </si>
  <si>
    <t>TC-301</t>
  </si>
  <si>
    <t>TC-302</t>
  </si>
  <si>
    <t>TC-401</t>
  </si>
  <si>
    <t>TC-402</t>
  </si>
  <si>
    <t>Y</t>
  </si>
  <si>
    <t>Login.test.tsx</t>
  </si>
  <si>
    <t>SecurityTest.java + JwtUtilTest.java</t>
  </si>
  <si>
    <t>SecurityTest.java + JwtUtilTest.java</t>
    <phoneticPr fontId="2" type="noConversion"/>
  </si>
  <si>
    <t>RepoList.test.tsx</t>
    <phoneticPr fontId="2" type="noConversion"/>
  </si>
  <si>
    <t>KnowledgeBuildTaskServiceTest.java</t>
  </si>
  <si>
    <t>IssueList.test.tsx</t>
  </si>
  <si>
    <t>Chat.test.tsx + KnowledgeQueryServiceExtendedTest.java</t>
  </si>
  <si>
    <t>KnowledgeQueryServiceExtendedTest.java</t>
    <phoneticPr fontId="2" type="noConversion"/>
  </si>
  <si>
    <t>Chat.test.tsx</t>
  </si>
  <si>
    <t>FaqServiceTest.java</t>
  </si>
  <si>
    <t>FaqServiceTest.java</t>
    <phoneticPr fontId="2" type="noConversion"/>
  </si>
  <si>
    <t>UserServiceTest.java</t>
    <phoneticPr fontId="2" type="noConversion"/>
  </si>
  <si>
    <t>AdminLogin.test.tsx</t>
  </si>
  <si>
    <t>AdminAudit.test.ts</t>
  </si>
  <si>
    <t>Usability.test.ts</t>
  </si>
  <si>
    <t>Compatibility.test.ts</t>
  </si>
  <si>
    <t>PerformanceTest.java</t>
  </si>
  <si>
    <t>PerformanceTest.java</t>
    <phoneticPr fontId="2" type="noConversion"/>
  </si>
  <si>
    <t>已成功跳转至系统首页，页面正常显示用户 GitHub 头像和用户名</t>
  </si>
  <si>
    <t>已跳转至登录页，提示“GitHub 授权失败”</t>
  </si>
  <si>
    <t>正常显示配置错误提示，引导用户检查 .env 中是否有 OAuth 配置</t>
  </si>
  <si>
    <t>有效 Token 正常获取数据；无效 Token 已正确拦截并返回 401/403</t>
  </si>
  <si>
    <t>已成功退出登录并跳转至登录页，Token 已失效</t>
  </si>
  <si>
    <t>仓库绑定成功，已开始同步代码并构建向量知识库</t>
  </si>
  <si>
    <t>仓库构建进度达到 100%，状态更新为“已完成”</t>
  </si>
  <si>
    <t>系统捕获异常成功，未崩溃，且支持断点续传/重试</t>
  </si>
  <si>
    <t>仓库删除成功，相关的关联数据均已清理完毕</t>
  </si>
  <si>
    <t>返回问答信息并包含关联文件链接，高亮显示明确</t>
  </si>
  <si>
    <t>已返回回答，响应时间满足 &lt;3s</t>
    <phoneticPr fontId="2" type="noConversion"/>
  </si>
  <si>
    <t>提示“请输入内容”，无法进行无效发送</t>
  </si>
  <si>
    <t>显示 Issue 变更，并成功提取到相关代码片段</t>
  </si>
  <si>
    <t>系统已基于知识库及历史记录成功自动生成 FAQ 列表</t>
  </si>
  <si>
    <t>FAQ 列表导出成功，文件内容完整</t>
  </si>
  <si>
    <t>用户无法访问非公开/无权限的仓库，界面提示无权限</t>
  </si>
  <si>
    <t>无法更改其他用户的操作，报错提示无操作权限</t>
  </si>
  <si>
    <t>操作日志记录成功，包含时间、用户、操作类型等完整信息</t>
  </si>
  <si>
    <t>只有系统管理员正常收到警报提示，普通用户无警报</t>
  </si>
  <si>
    <t>所有操作均有清晰反馈提示，未出现卡死或无响应现象</t>
  </si>
  <si>
    <t>样式及排版与 UI 设计图完全一致</t>
  </si>
  <si>
    <t>回答信息规范，标点及排版清晰易读</t>
  </si>
  <si>
    <t>新手无需特殊培训即可快速完成基本操作</t>
  </si>
  <si>
    <t>Chrome 浏览器下界面显示正常，所有功能可用</t>
  </si>
  <si>
    <t>Firefox 浏览器下界面显示正常，所有功能可用</t>
  </si>
  <si>
    <t>Edge 浏览器下界面显示正常，所有功能可用</t>
  </si>
  <si>
    <t>各分辨率下界面均正常，无溢出或错位现象</t>
  </si>
  <si>
    <t>系统可在声明的操作系统与 Docker 环境下正常运行</t>
  </si>
  <si>
    <t>1万行以内仓库构建耗时小于 5 分钟</t>
  </si>
  <si>
    <t>平均响应时间 &lt;3秒，满足性能要求</t>
  </si>
  <si>
    <t>敏感配置通过环境变量妥善管理，无泄露隐患</t>
  </si>
  <si>
    <t>符合 GitHub API 规则，未涉及未授权权限调用</t>
  </si>
  <si>
    <t>Test Case ID
 测试用例编号</t>
    <phoneticPr fontId="2" type="noConversion"/>
  </si>
  <si>
    <t>Test Item 
测试项</t>
    <phoneticPr fontId="2" type="noConversion"/>
  </si>
  <si>
    <t>Test Type
测试类型</t>
    <phoneticPr fontId="2" type="noConversion"/>
  </si>
  <si>
    <t>Test Case Title 
测试用例标题</t>
    <phoneticPr fontId="2" type="noConversion"/>
  </si>
  <si>
    <t>Test Criticality
测试优先级</t>
    <phoneticPr fontId="2" type="noConversion"/>
  </si>
  <si>
    <t>Pre-condition
 预置条件</t>
    <phoneticPr fontId="2" type="noConversion"/>
  </si>
  <si>
    <t>Input &amp; Procedure 
输入与操作</t>
    <phoneticPr fontId="2" type="noConversion"/>
  </si>
  <si>
    <t>Expected Output
 预期结果</t>
    <phoneticPr fontId="2" type="noConversion"/>
  </si>
  <si>
    <t>Result
实际结果</t>
    <phoneticPr fontId="2" type="noConversion"/>
  </si>
  <si>
    <t>Status
是否通过</t>
    <phoneticPr fontId="2" type="noConversion"/>
  </si>
  <si>
    <t>Test File
测试文件</t>
    <phoneticPr fontId="2" type="noConversion"/>
  </si>
  <si>
    <t>TC-020</t>
  </si>
  <si>
    <t>TC-021</t>
  </si>
  <si>
    <t>TC-022</t>
  </si>
  <si>
    <t>TC-023</t>
  </si>
  <si>
    <t>TC-024</t>
  </si>
  <si>
    <t>TC-010</t>
  </si>
  <si>
    <t>TC-013</t>
  </si>
  <si>
    <t>TC-014</t>
  </si>
  <si>
    <t>TC-015</t>
  </si>
  <si>
    <t>仓库管理边界场景</t>
    <phoneticPr fontId="2" type="noConversion"/>
  </si>
  <si>
    <t>智能问答边界场景</t>
    <phoneticPr fontId="2" type="noConversion"/>
  </si>
  <si>
    <t>测试空仓库/知识库未构建</t>
    <phoneticPr fontId="2" type="noConversion"/>
  </si>
  <si>
    <t>测试空仓库列表</t>
    <phoneticPr fontId="2" type="noConversion"/>
  </si>
  <si>
    <t>测试仓库同步失败重试</t>
    <phoneticPr fontId="2" type="noConversion"/>
  </si>
  <si>
    <t>测试特殊字符</t>
    <phoneticPr fontId="2" type="noConversion"/>
  </si>
  <si>
    <t>测试问答结果为空</t>
    <phoneticPr fontId="2" type="noConversion"/>
  </si>
  <si>
    <t>用户已登录，账号下没有任何 GitHub 仓库</t>
    <phoneticPr fontId="2" type="noConversion"/>
  </si>
  <si>
    <t>1. 点击进入仓库列表页面 / 点击“绑定仓库”</t>
  </si>
  <si>
    <t>页面正常加载，展示“暂无仓库”空状态引导提示，且提供手动刷新或连接 GitHub 的按钮，系统无报错</t>
  </si>
  <si>
    <t>成功展示空状态提示，页面未崩溃，无异常报错</t>
  </si>
  <si>
    <t>用户已登录，且当前 GitHub API 被限流或网络连接中断</t>
  </si>
  <si>
    <t>1. 点击“同步仓库”或“重新构建知识库”按钮</t>
  </si>
  <si>
    <t>系统捕获网络/API异常，弹出“网络连接失败”或“请求频繁”友好提示，并提供“重试”按钮，系统不崩溃</t>
  </si>
  <si>
    <t>成功捕获 API 限流异常，弹出友好重试提示，重试功能有效</t>
  </si>
  <si>
    <t>用户已登录，但未绑定任何仓库或未成功构建知识库</t>
  </si>
  <si>
    <t>1. 打开智能问答界面
2. 在输入框输入问题并点击发送</t>
    <phoneticPr fontId="2" type="noConversion"/>
  </si>
  <si>
    <t>系统拦截提问请求，提示“请先绑定仓库并完成知识库构建”，禁止发送空上下文问答</t>
  </si>
  <si>
    <t>系统成功拦截，弹出“未构建知识库”提示，阻止非法提问</t>
  </si>
  <si>
    <t>用户已登录，且知识库构建完成</t>
  </si>
  <si>
    <t>系统对输入进行自动转义与过滤，正常返回问答结果，页面不触发 XSS 弹窗且无脚本执行</t>
  </si>
  <si>
    <t>特殊字符被安全转义，问答系统响应正常，未触发安全漏洞</t>
  </si>
  <si>
    <t>1. 输入与当前仓库完全无关或无法在知识库中匹配到答案的问题
2. 点击发送</t>
    <phoneticPr fontId="2" type="noConversion"/>
  </si>
  <si>
    <t>系统在 3 秒内响应，友好提示“未匹配到相关文档或代码，请换个方式提问”，不返回胡乱编造的内容或报错</t>
  </si>
  <si>
    <t>成功返回无匹配结果提示，响应时间满足要求</t>
  </si>
  <si>
    <t>1. 在问答输入框输入包含 &lt;script&gt;alert(1)&lt;/script&gt;、' OR 1=1 --、Emoji 😊 等特殊字符
2. 点击发送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</si>
</sst>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0">
    <font>
      <sz val="12"/>
      <name val="宋体"/>
      <charset val="134"/>
    </font>
    <font>
      <sz val="12"/>
      <name val="宋体"/>
      <charset val="134"/>
    </font>
    <font>
      <sz val="9"/>
      <name val="宋体"/>
      <charset val="134"/>
    </font>
    <font>
      <sz val="10.5"/>
      <name val="宋体"/>
      <charset val="134"/>
    </font>
    <font>
      <sz val="12"/>
      <name val="Times New Roman"/>
      <family val="1"/>
    </font>
    <font>
      <sz val="12"/>
      <color indexed="48"/>
      <name val="Times New Roman"/>
      <family val="1"/>
    </font>
    <font>
      <b/>
      <sz val="20"/>
      <name val="宋体"/>
      <charset val="134"/>
    </font>
    <font>
      <b/>
      <sz val="20"/>
      <name val="Times New Roman"/>
      <family val="1"/>
    </font>
    <font>
      <u/>
      <sz val="12"/>
      <color indexed="12"/>
      <name val="宋体"/>
      <charset val="134"/>
    </font>
    <font>
      <u/>
      <sz val="10"/>
      <color indexed="12"/>
      <name val="宋体"/>
      <charset val="134"/>
    </font>
    <font>
      <sz val="20"/>
      <color indexed="48"/>
      <name val="华文细黑"/>
      <charset val="134"/>
    </font>
    <font>
      <sz val="10.5"/>
      <color indexed="48"/>
      <name val="Times New Roman"/>
      <family val="1"/>
    </font>
    <font>
      <sz val="12"/>
      <color indexed="48"/>
      <name val="宋体"/>
      <charset val="134"/>
    </font>
    <font>
      <sz val="12"/>
      <color indexed="62"/>
      <name val="Times New Roman"/>
      <family val="1"/>
    </font>
    <font>
      <sz val="12"/>
      <name val="宋体"/>
      <charset val="134"/>
    </font>
    <font>
      <sz val="12"/>
      <color rgb="FF3366FF"/>
      <name val="宋体"/>
      <family val="1"/>
      <charset val="134"/>
    </font>
    <font>
      <sz val="12"/>
      <name val="宋体"/>
      <family val="1"/>
      <charset val="134"/>
    </font>
    <font>
      <sz val="11"/>
      <name val="宋体"/>
      <family val="3"/>
      <charset val="134"/>
    </font>
    <font>
      <sz val="12"/>
      <color rgb="FF3366FF"/>
      <name val="微软雅黑"/>
      <family val="1"/>
      <charset val="134"/>
    </font>
    <font>
      <sz val="9"/>
      <name val="宋体"/>
      <family val="3"/>
      <charset val="134"/>
    </font>
    <font>
      <sz val="12"/>
      <color theme="1"/>
      <name val="宋体"/>
      <family val="3"/>
      <charset val="134"/>
    </font>
    <font>
      <sz val="12"/>
      <color theme="1"/>
      <name val="Times New Roman"/>
      <family val="1"/>
    </font>
    <font>
      <b/>
      <sz val="12"/>
      <color theme="1"/>
      <name val="宋体"/>
      <family val="3"/>
      <charset val="134"/>
    </font>
    <font>
      <sz val="10.5"/>
      <name val="宋体"/>
      <family val="3"/>
      <charset val="134"/>
    </font>
    <font>
      <b/>
      <sz val="12"/>
      <name val="宋体"/>
      <family val="3"/>
      <charset val="134"/>
    </font>
    <font>
      <sz val="20"/>
      <name val="华文细黑"/>
      <family val="3"/>
      <charset val="134"/>
    </font>
    <font>
      <sz val="9"/>
      <name val="宋体"/>
      <family val="3"/>
      <charset val="134"/>
      <scheme val="minor"/>
    </font>
    <font>
      <sz val="10"/>
      <name val="Microsoft YaHei"/>
      <family val="2"/>
      <charset val="134"/>
    </font>
    <font>
      <b/>
      <sz val="10"/>
      <color theme="0"/>
      <name val="Microsoft YaHei"/>
      <family val="2"/>
      <charset val="134"/>
    </font>
    <font>
      <sz val="10"/>
      <color theme="0"/>
      <name val="Microsoft YaHei"/>
      <family val="2"/>
      <charset val="134"/>
    </font>
  </fonts>
  <fills count="9">
    <fill>
      <patternFill patternType="none"/>
    </fill>
    <fill>
      <patternFill patternType="gray125"/>
    </fill>
    <fill>
      <patternFill patternType="solid">
        <fgColor indexed="9"/>
        <bgColor indexed="64"/>
      </patternFill>
    </fill>
    <fill>
      <patternFill patternType="solid">
        <fgColor indexed="27"/>
        <bgColor indexed="64"/>
      </patternFill>
    </fill>
    <fill>
      <patternFill patternType="solid">
        <fgColor indexed="47"/>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499984740745262"/>
        <bgColor indexed="64"/>
      </patternFill>
    </fill>
    <fill>
      <patternFill patternType="solid">
        <fgColor rgb="FFFFFFD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style="thin">
        <color indexed="9"/>
      </left>
      <right/>
      <top/>
      <bottom style="thin">
        <color indexed="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8" fillId="0" borderId="0" applyNumberFormat="0" applyFill="0" applyBorder="0" applyAlignment="0" applyProtection="0">
      <alignment vertical="top"/>
      <protection locked="0"/>
    </xf>
  </cellStyleXfs>
  <cellXfs count="84">
    <xf numFmtId="0" fontId="0" fillId="0" borderId="0" xfId="0">
      <alignment vertical="center"/>
    </xf>
    <xf numFmtId="0" fontId="4" fillId="0" borderId="1" xfId="0" applyFont="1" applyBorder="1" applyAlignment="1">
      <alignment horizontal="left" vertical="top" wrapText="1"/>
    </xf>
    <xf numFmtId="0" fontId="4" fillId="0" borderId="0" xfId="0" applyFont="1" applyAlignment="1">
      <alignment wrapText="1"/>
    </xf>
    <xf numFmtId="0" fontId="4" fillId="3" borderId="1" xfId="0" applyFont="1" applyFill="1" applyBorder="1" applyAlignment="1">
      <alignment horizontal="center" wrapText="1"/>
    </xf>
    <xf numFmtId="0" fontId="4" fillId="3" borderId="1" xfId="0" applyFont="1" applyFill="1" applyBorder="1" applyAlignment="1">
      <alignment horizontal="centerContinuous" wrapText="1"/>
    </xf>
    <xf numFmtId="0" fontId="4" fillId="4" borderId="1" xfId="0" applyFont="1" applyFill="1" applyBorder="1" applyAlignment="1">
      <alignment horizontal="center"/>
    </xf>
    <xf numFmtId="0" fontId="0" fillId="0" borderId="2" xfId="0" applyBorder="1">
      <alignment vertical="center"/>
    </xf>
    <xf numFmtId="0" fontId="4" fillId="0" borderId="2" xfId="0" applyFont="1" applyBorder="1" applyAlignment="1"/>
    <xf numFmtId="0" fontId="0" fillId="0" borderId="3" xfId="0" applyBorder="1">
      <alignment vertical="center"/>
    </xf>
    <xf numFmtId="0" fontId="0" fillId="0" borderId="4" xfId="0" applyBorder="1">
      <alignment vertical="center"/>
    </xf>
    <xf numFmtId="0" fontId="9" fillId="0" borderId="2" xfId="1" applyFont="1" applyBorder="1" applyAlignment="1" applyProtection="1">
      <alignment vertical="center"/>
    </xf>
    <xf numFmtId="0" fontId="0" fillId="2" borderId="0" xfId="0" applyFill="1">
      <alignment vertical="center"/>
    </xf>
    <xf numFmtId="0" fontId="0" fillId="2" borderId="4" xfId="0" applyFill="1" applyBorder="1">
      <alignment vertical="center"/>
    </xf>
    <xf numFmtId="0" fontId="0" fillId="2" borderId="2" xfId="0" applyFill="1" applyBorder="1">
      <alignment vertical="center"/>
    </xf>
    <xf numFmtId="0" fontId="4" fillId="2" borderId="0" xfId="0" applyFont="1" applyFill="1" applyAlignment="1"/>
    <xf numFmtId="0" fontId="0" fillId="2" borderId="5" xfId="0" applyFill="1" applyBorder="1">
      <alignment vertical="center"/>
    </xf>
    <xf numFmtId="0" fontId="0" fillId="0" borderId="6" xfId="0" applyBorder="1">
      <alignment vertical="center"/>
    </xf>
    <xf numFmtId="0" fontId="0" fillId="2" borderId="7" xfId="0" applyFill="1" applyBorder="1">
      <alignment vertical="center"/>
    </xf>
    <xf numFmtId="0" fontId="4" fillId="0" borderId="3" xfId="0" applyFont="1" applyBorder="1" applyAlignment="1"/>
    <xf numFmtId="0" fontId="0" fillId="2" borderId="8" xfId="0" applyFill="1" applyBorder="1">
      <alignment vertical="center"/>
    </xf>
    <xf numFmtId="0" fontId="1" fillId="0" borderId="9" xfId="0" applyFont="1" applyBorder="1" applyAlignment="1">
      <alignment horizontal="center" vertical="center" wrapText="1"/>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4" borderId="1" xfId="0" applyNumberFormat="1" applyFont="1" applyFill="1" applyBorder="1" applyAlignment="1">
      <alignment horizontal="center"/>
    </xf>
    <xf numFmtId="49" fontId="5" fillId="0" borderId="9" xfId="0" applyNumberFormat="1" applyFont="1" applyBorder="1" applyAlignment="1">
      <alignment horizontal="center" vertical="center" wrapText="1"/>
    </xf>
    <xf numFmtId="14" fontId="11" fillId="0" borderId="1" xfId="0" applyNumberFormat="1" applyFont="1" applyBorder="1" applyAlignment="1">
      <alignment horizontal="center" vertical="center" wrapText="1"/>
    </xf>
    <xf numFmtId="0" fontId="4" fillId="0" borderId="0" xfId="0" applyFont="1" applyAlignment="1">
      <alignment vertical="center" wrapText="1"/>
    </xf>
    <xf numFmtId="0" fontId="4" fillId="5" borderId="1" xfId="0" applyFont="1" applyFill="1" applyBorder="1" applyAlignment="1" applyProtection="1">
      <alignment wrapText="1"/>
      <protection locked="0"/>
    </xf>
    <xf numFmtId="0" fontId="4" fillId="5" borderId="1" xfId="0" applyFont="1" applyFill="1" applyBorder="1" applyAlignment="1" applyProtection="1">
      <alignment horizontal="center" wrapText="1"/>
      <protection locked="0"/>
    </xf>
    <xf numFmtId="0" fontId="4" fillId="5" borderId="0" xfId="0" applyFont="1" applyFill="1" applyAlignment="1">
      <alignment wrapText="1"/>
    </xf>
    <xf numFmtId="49" fontId="5" fillId="8" borderId="1" xfId="0" applyNumberFormat="1" applyFont="1" applyFill="1" applyBorder="1" applyAlignment="1">
      <alignment horizontal="centerContinuous" vertical="center"/>
    </xf>
    <xf numFmtId="0" fontId="5" fillId="8" borderId="1" xfId="0" applyFont="1" applyFill="1" applyBorder="1" applyAlignment="1">
      <alignment horizontal="centerContinuous" vertical="center"/>
    </xf>
    <xf numFmtId="49" fontId="4" fillId="8" borderId="1" xfId="0" applyNumberFormat="1" applyFont="1" applyFill="1" applyBorder="1" applyAlignment="1">
      <alignment horizontal="centerContinuous" vertical="center"/>
    </xf>
    <xf numFmtId="0" fontId="5" fillId="8" borderId="1" xfId="0" applyFont="1" applyFill="1" applyBorder="1">
      <alignment vertical="center"/>
    </xf>
    <xf numFmtId="0" fontId="3" fillId="0" borderId="0" xfId="0" applyFont="1" applyAlignment="1">
      <alignment vertical="center" wrapText="1"/>
    </xf>
    <xf numFmtId="0" fontId="23" fillId="0" borderId="1" xfId="0" applyFont="1" applyBorder="1" applyAlignment="1">
      <alignment vertical="center" wrapText="1"/>
    </xf>
    <xf numFmtId="0" fontId="22" fillId="0" borderId="1" xfId="0" applyFont="1" applyBorder="1">
      <alignment vertical="center"/>
    </xf>
    <xf numFmtId="0" fontId="24" fillId="0" borderId="1" xfId="0" applyFont="1" applyBorder="1">
      <alignment vertical="center"/>
    </xf>
    <xf numFmtId="0" fontId="22" fillId="5" borderId="1" xfId="0" applyFont="1" applyFill="1" applyBorder="1">
      <alignment vertical="center"/>
    </xf>
    <xf numFmtId="0" fontId="22" fillId="5" borderId="1" xfId="0" applyFont="1" applyFill="1" applyBorder="1" applyAlignment="1">
      <alignment horizontal="center" vertical="center"/>
    </xf>
    <xf numFmtId="0" fontId="27" fillId="5" borderId="1" xfId="0" applyFont="1" applyFill="1" applyBorder="1" applyAlignment="1" applyProtection="1">
      <alignment horizontal="center" vertical="center" wrapText="1"/>
      <protection locked="0"/>
    </xf>
    <xf numFmtId="0" fontId="27" fillId="0" borderId="0" xfId="0" applyFont="1" applyAlignment="1">
      <alignment horizontal="center" vertical="center" wrapText="1"/>
    </xf>
    <xf numFmtId="0" fontId="27" fillId="6" borderId="0" xfId="0" applyFont="1" applyFill="1" applyAlignment="1">
      <alignment horizontal="center" vertical="center" wrapText="1"/>
    </xf>
    <xf numFmtId="0" fontId="27" fillId="6" borderId="1" xfId="0" applyFont="1" applyFill="1" applyBorder="1" applyAlignment="1" applyProtection="1">
      <alignment horizontal="center" vertical="center" wrapText="1"/>
      <protection locked="0"/>
    </xf>
    <xf numFmtId="0" fontId="28" fillId="7" borderId="1" xfId="0" applyFont="1" applyFill="1" applyBorder="1" applyAlignment="1">
      <alignment horizontal="center" vertical="center" wrapText="1"/>
    </xf>
    <xf numFmtId="0" fontId="6" fillId="6" borderId="12" xfId="0" applyFont="1" applyFill="1" applyBorder="1" applyAlignment="1" applyProtection="1">
      <alignment horizontal="center" vertical="center" wrapText="1"/>
      <protection locked="0"/>
    </xf>
    <xf numFmtId="0" fontId="6" fillId="6" borderId="0" xfId="0" applyFont="1" applyFill="1" applyAlignment="1" applyProtection="1">
      <alignment horizontal="center" vertical="center" wrapText="1"/>
      <protection locked="0"/>
    </xf>
    <xf numFmtId="0" fontId="0" fillId="6" borderId="0" xfId="0" applyFill="1" applyAlignment="1">
      <alignment vertical="center" wrapText="1"/>
    </xf>
    <xf numFmtId="0" fontId="1" fillId="3" borderId="9" xfId="0" applyFont="1" applyFill="1" applyBorder="1" applyAlignment="1">
      <alignment horizontal="center"/>
    </xf>
    <xf numFmtId="0" fontId="1" fillId="3" borderId="10" xfId="0" applyFont="1" applyFill="1" applyBorder="1" applyAlignment="1">
      <alignment horizontal="center"/>
    </xf>
    <xf numFmtId="176" fontId="4" fillId="8" borderId="9" xfId="0" applyNumberFormat="1" applyFont="1" applyFill="1" applyBorder="1" applyAlignment="1">
      <alignment horizontal="center" vertical="center"/>
    </xf>
    <xf numFmtId="176" fontId="4" fillId="8" borderId="10" xfId="0" applyNumberFormat="1" applyFont="1" applyFill="1" applyBorder="1" applyAlignment="1">
      <alignment horizontal="center" vertical="center"/>
    </xf>
    <xf numFmtId="0" fontId="4" fillId="3" borderId="10" xfId="0" applyFont="1" applyFill="1" applyBorder="1" applyAlignment="1">
      <alignment horizontal="center"/>
    </xf>
    <xf numFmtId="0" fontId="1" fillId="0" borderId="1" xfId="0" applyFont="1" applyBorder="1" applyAlignment="1">
      <alignment horizontal="center" vertical="center"/>
    </xf>
    <xf numFmtId="0" fontId="4" fillId="2" borderId="9"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0" xfId="0" applyFont="1" applyFill="1" applyBorder="1" applyAlignment="1">
      <alignment horizontal="center" vertical="center"/>
    </xf>
    <xf numFmtId="0" fontId="4" fillId="3" borderId="1" xfId="0" applyFont="1" applyFill="1" applyBorder="1" applyAlignment="1">
      <alignment horizontal="center" wrapText="1"/>
    </xf>
    <xf numFmtId="176" fontId="5" fillId="8" borderId="1" xfId="0" applyNumberFormat="1" applyFont="1" applyFill="1" applyBorder="1" applyAlignment="1">
      <alignment horizontal="center" vertical="center"/>
    </xf>
    <xf numFmtId="0" fontId="20" fillId="3" borderId="9" xfId="0" applyFont="1" applyFill="1" applyBorder="1" applyAlignment="1">
      <alignment horizontal="center"/>
    </xf>
    <xf numFmtId="0" fontId="21" fillId="3" borderId="10" xfId="0" applyFont="1" applyFill="1" applyBorder="1" applyAlignment="1">
      <alignment horizontal="center"/>
    </xf>
    <xf numFmtId="0" fontId="25" fillId="0" borderId="9" xfId="0" applyFont="1" applyBorder="1" applyAlignment="1">
      <alignment horizontal="center" vertical="center" wrapText="1"/>
    </xf>
    <xf numFmtId="0" fontId="10" fillId="0" borderId="11" xfId="0" applyFont="1" applyBorder="1" applyAlignment="1">
      <alignment horizontal="center" vertical="center" wrapText="1"/>
    </xf>
    <xf numFmtId="0" fontId="0" fillId="0" borderId="11" xfId="0" applyBorder="1" applyAlignment="1">
      <alignment horizontal="center" vertical="center"/>
    </xf>
    <xf numFmtId="0" fontId="0" fillId="0" borderId="10" xfId="0" applyBorder="1" applyAlignment="1">
      <alignment horizontal="center" vertical="center"/>
    </xf>
    <xf numFmtId="0" fontId="1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0" fillId="0" borderId="1" xfId="0" applyBorder="1" applyAlignment="1">
      <alignment horizontal="center" vertical="center"/>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0" xfId="0" applyFont="1" applyBorder="1" applyAlignment="1">
      <alignment horizontal="center" vertical="center" wrapText="1"/>
    </xf>
    <xf numFmtId="0" fontId="0" fillId="0" borderId="10" xfId="0" applyBorder="1" applyAlignment="1">
      <alignment horizontal="center" vertical="center" wrapText="1"/>
    </xf>
    <xf numFmtId="0" fontId="5" fillId="0" borderId="9" xfId="0" applyFont="1" applyBorder="1" applyAlignment="1">
      <alignment horizontal="center" vertical="center" wrapText="1"/>
    </xf>
    <xf numFmtId="0" fontId="1" fillId="0" borderId="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13" fillId="0" borderId="9" xfId="0" applyFont="1" applyBorder="1" applyAlignment="1">
      <alignment horizontal="center" vertical="center" wrapText="1"/>
    </xf>
    <xf numFmtId="0" fontId="29" fillId="7" borderId="0" xfId="0" applyFont="1" applyFill="1" applyAlignment="1">
      <alignment horizontal="center" vertical="center" wrapText="1"/>
    </xf>
    <xf numFmtId="0" fontId="28" fillId="7" borderId="1" xfId="0" applyFont="1" applyFill="1" applyBorder="1" applyAlignment="1">
      <alignment horizontal="left" vertical="center" wrapText="1"/>
    </xf>
    <xf numFmtId="0" fontId="27" fillId="6" borderId="0" xfId="0" applyFont="1" applyFill="1" applyAlignment="1">
      <alignment horizontal="left" vertical="center" wrapText="1"/>
    </xf>
    <xf numFmtId="0" fontId="27" fillId="0" borderId="0" xfId="0" applyFont="1" applyAlignment="1">
      <alignment horizontal="left" vertical="center" wrapText="1"/>
    </xf>
  </cellXfs>
  <cellStyles count="2">
    <cellStyle name="常规" xfId="0" builtinId="0"/>
    <cellStyle name="超链接" xfId="1" builtinId="8"/>
  </cellStyles>
  <dxfs count="0"/>
  <tableStyles count="0" defaultTableStyle="TableStyleMedium2" defaultPivotStyle="PivotStyleLight16"/>
  <colors>
    <mruColors>
      <color rgb="FFFFFFD5"/>
      <color rgb="FF0066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104775</xdr:colOff>
      <xdr:row>0</xdr:row>
      <xdr:rowOff>0</xdr:rowOff>
    </xdr:from>
    <xdr:to>
      <xdr:col>5</xdr:col>
      <xdr:colOff>2196465</xdr:colOff>
      <xdr:row>0</xdr:row>
      <xdr:rowOff>571500</xdr:rowOff>
    </xdr:to>
    <xdr:pic>
      <xdr:nvPicPr>
        <xdr:cNvPr id="1033" name="图片 1">
          <a:extLst>
            <a:ext uri="{FF2B5EF4-FFF2-40B4-BE49-F238E27FC236}">
              <a16:creationId xmlns:a16="http://schemas.microsoft.com/office/drawing/2014/main" id="{00000000-0008-0000-0000-00000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0"/>
          <a:ext cx="20955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opLeftCell="A6" workbookViewId="0">
      <selection activeCell="D24" sqref="D24"/>
    </sheetView>
  </sheetViews>
  <sheetFormatPr defaultColWidth="9" defaultRowHeight="15"/>
  <cols>
    <col min="1" max="1" width="7.6640625" style="13" customWidth="1"/>
    <col min="2" max="2" width="25.1640625" style="6" customWidth="1"/>
    <col min="3" max="3" width="7" style="6" customWidth="1"/>
    <col min="4" max="4" width="21.5" style="6" customWidth="1"/>
    <col min="5" max="5" width="24.5" style="6" customWidth="1"/>
    <col min="6" max="6" width="30.08203125" style="6" customWidth="1"/>
    <col min="7" max="7" width="17.1640625" style="6" customWidth="1"/>
    <col min="8" max="16384" width="9" style="6"/>
  </cols>
  <sheetData>
    <row r="1" spans="1:8" ht="51" customHeight="1">
      <c r="A1" s="17"/>
      <c r="B1" s="67" t="s">
        <v>40</v>
      </c>
      <c r="C1" s="68"/>
      <c r="D1" s="68"/>
      <c r="E1" s="68"/>
      <c r="F1" s="68"/>
      <c r="G1" s="16"/>
    </row>
    <row r="2" spans="1:8" ht="31.5" customHeight="1">
      <c r="A2" s="11"/>
      <c r="B2" s="69" t="s">
        <v>23</v>
      </c>
      <c r="C2" s="70"/>
      <c r="D2" s="70"/>
      <c r="E2" s="76" t="s">
        <v>24</v>
      </c>
      <c r="F2" s="76"/>
      <c r="G2" s="8"/>
    </row>
    <row r="3" spans="1:8" ht="23.25" customHeight="1">
      <c r="A3" s="11"/>
      <c r="B3" s="71" t="s">
        <v>69</v>
      </c>
      <c r="C3" s="72"/>
      <c r="D3" s="73"/>
      <c r="E3" s="77" t="s">
        <v>0</v>
      </c>
      <c r="F3" s="78"/>
      <c r="G3" s="8"/>
    </row>
    <row r="4" spans="1:8" ht="30">
      <c r="A4" s="11"/>
      <c r="B4" s="69" t="s">
        <v>20</v>
      </c>
      <c r="C4" s="74"/>
      <c r="D4" s="20" t="s">
        <v>21</v>
      </c>
      <c r="E4" s="77" t="s">
        <v>22</v>
      </c>
      <c r="F4" s="78"/>
      <c r="G4" s="8"/>
    </row>
    <row r="5" spans="1:8" ht="27.75" customHeight="1">
      <c r="A5" s="11"/>
      <c r="B5" s="75" t="s">
        <v>70</v>
      </c>
      <c r="C5" s="73"/>
      <c r="D5" s="24" t="s">
        <v>33</v>
      </c>
      <c r="E5" s="79" t="s">
        <v>71</v>
      </c>
      <c r="F5" s="78"/>
      <c r="G5" s="8"/>
    </row>
    <row r="6" spans="1:8" ht="101.25" customHeight="1">
      <c r="A6" s="15"/>
      <c r="B6" s="61" t="s">
        <v>72</v>
      </c>
      <c r="C6" s="62"/>
      <c r="D6" s="62"/>
      <c r="E6" s="63"/>
      <c r="F6" s="64"/>
      <c r="G6" s="8"/>
    </row>
    <row r="7" spans="1:8" ht="30.5">
      <c r="A7" s="11"/>
      <c r="B7" s="1" t="s">
        <v>12</v>
      </c>
      <c r="C7" s="65"/>
      <c r="D7" s="66"/>
      <c r="E7" s="1" t="s">
        <v>13</v>
      </c>
      <c r="F7" s="25">
        <v>46231</v>
      </c>
      <c r="G7" s="8"/>
    </row>
    <row r="8" spans="1:8" ht="30.5">
      <c r="A8" s="11"/>
      <c r="B8" s="1" t="s">
        <v>14</v>
      </c>
      <c r="C8" s="65"/>
      <c r="D8" s="66"/>
      <c r="E8" s="1" t="s">
        <v>13</v>
      </c>
      <c r="F8" s="25" t="s">
        <v>42</v>
      </c>
      <c r="G8" s="8"/>
    </row>
    <row r="9" spans="1:8" ht="30.5">
      <c r="A9" s="11"/>
      <c r="B9" s="1" t="s">
        <v>15</v>
      </c>
      <c r="C9" s="66"/>
      <c r="D9" s="66"/>
      <c r="E9" s="1" t="s">
        <v>13</v>
      </c>
      <c r="F9" s="25" t="s">
        <v>42</v>
      </c>
      <c r="G9" s="8"/>
    </row>
    <row r="10" spans="1:8" ht="28.5" customHeight="1">
      <c r="A10" s="11"/>
      <c r="B10" s="54" t="s">
        <v>5</v>
      </c>
      <c r="C10" s="55"/>
      <c r="D10" s="55"/>
      <c r="E10" s="55"/>
      <c r="F10" s="56"/>
      <c r="G10" s="8"/>
      <c r="H10" s="8"/>
    </row>
    <row r="11" spans="1:8" ht="32">
      <c r="A11" s="11"/>
      <c r="B11" s="57" t="s">
        <v>25</v>
      </c>
      <c r="C11" s="57"/>
      <c r="D11" s="3" t="s">
        <v>6</v>
      </c>
      <c r="E11" s="4" t="s">
        <v>26</v>
      </c>
      <c r="F11" s="3" t="s">
        <v>27</v>
      </c>
      <c r="G11" s="8"/>
      <c r="H11" s="8"/>
    </row>
    <row r="12" spans="1:8" ht="16.5">
      <c r="A12" s="11"/>
      <c r="B12" s="58" t="s">
        <v>44</v>
      </c>
      <c r="C12" s="58"/>
      <c r="D12" s="30" t="s">
        <v>7</v>
      </c>
      <c r="E12" s="31" t="s">
        <v>41</v>
      </c>
      <c r="F12" s="31" t="s">
        <v>43</v>
      </c>
      <c r="G12" s="8"/>
      <c r="H12" s="8"/>
    </row>
    <row r="13" spans="1:8" ht="15.5">
      <c r="A13" s="11"/>
      <c r="B13" s="50"/>
      <c r="C13" s="51"/>
      <c r="D13" s="32"/>
      <c r="E13" s="33"/>
      <c r="F13" s="33"/>
      <c r="H13" s="8"/>
    </row>
    <row r="14" spans="1:8" ht="15.5">
      <c r="A14" s="11"/>
      <c r="B14" s="50"/>
      <c r="C14" s="51"/>
      <c r="D14" s="32"/>
      <c r="E14" s="33"/>
      <c r="F14" s="33"/>
      <c r="H14" s="8"/>
    </row>
    <row r="15" spans="1:8" ht="15.5">
      <c r="A15" s="11"/>
      <c r="B15" s="50"/>
      <c r="C15" s="51"/>
      <c r="D15" s="32"/>
      <c r="E15" s="33"/>
      <c r="F15" s="33"/>
      <c r="H15" s="8"/>
    </row>
    <row r="16" spans="1:8" ht="15.5">
      <c r="A16" s="11"/>
      <c r="B16" s="50"/>
      <c r="C16" s="51"/>
      <c r="D16" s="32"/>
      <c r="E16" s="33"/>
      <c r="F16" s="33"/>
      <c r="H16" s="8"/>
    </row>
    <row r="17" spans="1:9" ht="15.5">
      <c r="A17" s="11"/>
      <c r="B17" s="50"/>
      <c r="C17" s="51"/>
      <c r="D17" s="32"/>
      <c r="E17" s="33"/>
      <c r="F17" s="33"/>
      <c r="H17" s="8"/>
    </row>
    <row r="18" spans="1:9" ht="28.5" customHeight="1">
      <c r="A18" s="17"/>
      <c r="B18" s="53" t="s">
        <v>32</v>
      </c>
      <c r="C18" s="53"/>
      <c r="D18" s="53"/>
      <c r="E18" s="53"/>
      <c r="F18" s="53"/>
      <c r="G18" s="8"/>
    </row>
    <row r="19" spans="1:9" s="7" customFormat="1" ht="17.25" customHeight="1">
      <c r="A19" s="14"/>
      <c r="B19" s="48" t="s">
        <v>16</v>
      </c>
      <c r="C19" s="52"/>
      <c r="D19" s="21" t="s">
        <v>18</v>
      </c>
      <c r="E19" s="22" t="s">
        <v>17</v>
      </c>
      <c r="F19" s="21" t="s">
        <v>19</v>
      </c>
      <c r="G19" s="18"/>
      <c r="H19" s="6"/>
      <c r="I19" s="6"/>
    </row>
    <row r="20" spans="1:9" s="7" customFormat="1" ht="17.25" customHeight="1">
      <c r="A20" s="14"/>
      <c r="B20" s="59" t="s">
        <v>29</v>
      </c>
      <c r="C20" s="60"/>
      <c r="D20" s="5">
        <v>24</v>
      </c>
      <c r="E20" s="5">
        <f>SUMPRODUCT(('Test Cases'!C:C=B20)*('Test Cases'!J:J="Y"))</f>
        <v>24</v>
      </c>
      <c r="F20" s="23">
        <f t="shared" ref="F20:F27" si="0">IF(D20,E20/D20,0)</f>
        <v>1</v>
      </c>
      <c r="G20" s="18"/>
      <c r="H20" s="6"/>
      <c r="I20" s="6"/>
    </row>
    <row r="21" spans="1:9" s="7" customFormat="1" ht="17.25" customHeight="1">
      <c r="A21" s="14"/>
      <c r="B21" s="48" t="s">
        <v>35</v>
      </c>
      <c r="C21" s="49"/>
      <c r="D21" s="5">
        <f>COUNTIF('Test Cases'!C:C,B21)</f>
        <v>2</v>
      </c>
      <c r="E21" s="5">
        <f>SUMPRODUCT(('Test Cases'!C:C=B21)*('Test Cases'!J:J="Y"))</f>
        <v>2</v>
      </c>
      <c r="F21" s="23">
        <f>IF(D21,E21/D21,0)</f>
        <v>1</v>
      </c>
      <c r="G21" s="18"/>
      <c r="H21" s="6"/>
      <c r="I21" s="6"/>
    </row>
    <row r="22" spans="1:9" s="7" customFormat="1" ht="17.25" customHeight="1">
      <c r="A22" s="14"/>
      <c r="B22" s="48" t="s">
        <v>37</v>
      </c>
      <c r="C22" s="49"/>
      <c r="D22" s="5">
        <v>0</v>
      </c>
      <c r="E22" s="5">
        <f>SUMPRODUCT(('Test Cases'!C:C=B22)*('Test Cases'!J:J="Y"))</f>
        <v>0</v>
      </c>
      <c r="F22" s="23">
        <f>IF(D22,E22/D22,0)</f>
        <v>0</v>
      </c>
      <c r="G22" s="18"/>
      <c r="H22" s="6"/>
      <c r="I22" s="6"/>
    </row>
    <row r="23" spans="1:9" s="7" customFormat="1" ht="17.25" customHeight="1">
      <c r="A23" s="14"/>
      <c r="B23" s="48" t="s">
        <v>38</v>
      </c>
      <c r="C23" s="49"/>
      <c r="D23" s="5">
        <f>COUNTIF('Test Cases'!C:C,B23)</f>
        <v>2</v>
      </c>
      <c r="E23" s="5">
        <f>SUMPRODUCT(('Test Cases'!C:C=B23)*('Test Cases'!J:J="Y"))</f>
        <v>2</v>
      </c>
      <c r="F23" s="23">
        <f>IF(D23,E23/D23,0)</f>
        <v>1</v>
      </c>
      <c r="G23" s="18"/>
      <c r="H23" s="6"/>
      <c r="I23" s="6"/>
    </row>
    <row r="24" spans="1:9" s="7" customFormat="1" ht="17.25" customHeight="1">
      <c r="A24" s="14"/>
      <c r="B24" s="48" t="s">
        <v>39</v>
      </c>
      <c r="C24" s="49"/>
      <c r="D24" s="5">
        <v>5</v>
      </c>
      <c r="E24" s="5">
        <f>SUMPRODUCT(('Test Cases'!C:C=B24)*('Test Cases'!J:J="Y"))</f>
        <v>5</v>
      </c>
      <c r="F24" s="23">
        <f>IF(D24,E24/D24,0)</f>
        <v>1</v>
      </c>
      <c r="G24" s="18"/>
      <c r="H24" s="6"/>
      <c r="I24" s="6"/>
    </row>
    <row r="25" spans="1:9" s="7" customFormat="1" ht="17.25" customHeight="1">
      <c r="A25" s="14"/>
      <c r="B25" s="48" t="s">
        <v>36</v>
      </c>
      <c r="C25" s="49"/>
      <c r="D25" s="5">
        <v>4</v>
      </c>
      <c r="E25" s="5">
        <f>SUMPRODUCT(('Test Cases'!C:C=B25)*('Test Cases'!J:J="Y"))</f>
        <v>4</v>
      </c>
      <c r="F25" s="23">
        <f>IF(D25,E25/D25,0)</f>
        <v>1</v>
      </c>
      <c r="G25" s="18"/>
      <c r="H25" s="6"/>
      <c r="I25" s="6"/>
    </row>
    <row r="26" spans="1:9" s="7" customFormat="1" ht="17.25" customHeight="1">
      <c r="A26" s="14"/>
      <c r="B26" s="48" t="s">
        <v>30</v>
      </c>
      <c r="C26" s="52"/>
      <c r="D26" s="5">
        <v>0</v>
      </c>
      <c r="E26" s="5">
        <f>SUMPRODUCT(('Test Cases'!C:C=B26)*('Test Cases'!J:J="Y"))</f>
        <v>0</v>
      </c>
      <c r="F26" s="23">
        <f t="shared" si="0"/>
        <v>0</v>
      </c>
      <c r="G26" s="18"/>
    </row>
    <row r="27" spans="1:9" ht="16">
      <c r="A27" s="19"/>
      <c r="B27" s="48" t="s">
        <v>31</v>
      </c>
      <c r="C27" s="52"/>
      <c r="D27" s="5">
        <f>SUM(D20:D26)</f>
        <v>37</v>
      </c>
      <c r="E27" s="5">
        <f>COUNTIF('Test Cases'!J:J,"Y")</f>
        <v>37</v>
      </c>
      <c r="F27" s="23">
        <f t="shared" si="0"/>
        <v>1</v>
      </c>
      <c r="G27" s="8"/>
    </row>
    <row r="28" spans="1:9">
      <c r="A28" s="12"/>
      <c r="B28" s="9"/>
      <c r="C28" s="9"/>
      <c r="D28" s="9"/>
      <c r="E28" s="9"/>
      <c r="F28" s="9"/>
      <c r="G28" s="9"/>
    </row>
    <row r="29" spans="1:9">
      <c r="A29" s="12"/>
      <c r="B29" s="9"/>
      <c r="C29" s="9"/>
      <c r="D29" s="9"/>
      <c r="E29" s="9"/>
      <c r="F29" s="9"/>
      <c r="G29" s="9"/>
    </row>
    <row r="30" spans="1:9">
      <c r="A30" s="12"/>
      <c r="B30" s="9"/>
      <c r="C30" s="9"/>
      <c r="D30" s="9"/>
      <c r="E30" s="9"/>
      <c r="F30" s="9"/>
      <c r="G30" s="9"/>
    </row>
    <row r="31" spans="1:9">
      <c r="B31" s="10" t="s">
        <v>8</v>
      </c>
      <c r="C31" s="10"/>
      <c r="D31" s="10"/>
    </row>
    <row r="32" spans="1:9" ht="15.5">
      <c r="B32" s="10" t="s">
        <v>9</v>
      </c>
      <c r="C32" s="10"/>
      <c r="D32" s="10"/>
      <c r="E32" s="7"/>
      <c r="F32" s="7"/>
    </row>
    <row r="33" spans="5:6" ht="15.5">
      <c r="E33" s="7"/>
      <c r="F33" s="7"/>
    </row>
    <row r="34" spans="5:6" ht="15.5">
      <c r="E34" s="7"/>
      <c r="F34" s="7"/>
    </row>
    <row r="35" spans="5:6" ht="15.5">
      <c r="E35" s="7"/>
      <c r="F35" s="7"/>
    </row>
    <row r="36" spans="5:6" ht="15.5">
      <c r="E36" s="7"/>
      <c r="F36" s="7"/>
    </row>
  </sheetData>
  <mergeCells count="31">
    <mergeCell ref="B1:F1"/>
    <mergeCell ref="B2:D2"/>
    <mergeCell ref="B3:D3"/>
    <mergeCell ref="B4:C4"/>
    <mergeCell ref="B5:C5"/>
    <mergeCell ref="E2:F2"/>
    <mergeCell ref="E3:F3"/>
    <mergeCell ref="E4:F4"/>
    <mergeCell ref="E5:F5"/>
    <mergeCell ref="B6:F6"/>
    <mergeCell ref="B19:C19"/>
    <mergeCell ref="C7:D7"/>
    <mergeCell ref="C8:D8"/>
    <mergeCell ref="B21:C21"/>
    <mergeCell ref="C9:D9"/>
    <mergeCell ref="B22:C22"/>
    <mergeCell ref="B14:C14"/>
    <mergeCell ref="B27:C27"/>
    <mergeCell ref="B18:F18"/>
    <mergeCell ref="B10:F10"/>
    <mergeCell ref="B17:C17"/>
    <mergeCell ref="B11:C11"/>
    <mergeCell ref="B12:C12"/>
    <mergeCell ref="B26:C26"/>
    <mergeCell ref="B23:C23"/>
    <mergeCell ref="B24:C24"/>
    <mergeCell ref="B15:C15"/>
    <mergeCell ref="B16:C16"/>
    <mergeCell ref="B13:C13"/>
    <mergeCell ref="B25:C25"/>
    <mergeCell ref="B20:C20"/>
  </mergeCells>
  <phoneticPr fontId="2" type="noConversion"/>
  <hyperlinks>
    <hyperlink ref="B31" location="'Test Cases'!A1" display="测试用例详情" xr:uid="{00000000-0004-0000-0000-000000000000}"/>
    <hyperlink ref="B32" location="功能测试用例常用测试项!A1" display="文档帮助" xr:uid="{00000000-0004-0000-0000-000001000000}"/>
  </hyperlinks>
  <pageMargins left="0.75" right="0.75" top="1" bottom="1" header="0.5" footer="0.5"/>
  <pageSetup paperSize="9" orientation="portrait"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4"/>
  <sheetViews>
    <sheetView tabSelected="1" zoomScale="80" zoomScaleNormal="80" workbookViewId="0">
      <pane xSplit="3" ySplit="4" topLeftCell="H10" activePane="bottomRight" state="frozen"/>
      <selection pane="topRight" activeCell="D1" sqref="D1"/>
      <selection pane="bottomLeft" activeCell="A5" sqref="A5"/>
      <selection pane="bottomRight" activeCell="K15" sqref="K15"/>
    </sheetView>
  </sheetViews>
  <sheetFormatPr defaultColWidth="13.08203125" defaultRowHeight="15.5"/>
  <cols>
    <col min="1" max="1" width="21.83203125" style="27" customWidth="1"/>
    <col min="2" max="2" width="24.83203125" style="27" customWidth="1"/>
    <col min="3" max="3" width="19.5" style="27" customWidth="1"/>
    <col min="4" max="4" width="33.58203125" style="27" customWidth="1"/>
    <col min="5" max="5" width="23.58203125" style="28" customWidth="1"/>
    <col min="6" max="6" width="44.83203125" style="27" customWidth="1"/>
    <col min="7" max="7" width="60.33203125" style="27" customWidth="1"/>
    <col min="8" max="8" width="54.25" style="27" customWidth="1"/>
    <col min="9" max="9" width="47.83203125" style="27" customWidth="1"/>
    <col min="10" max="10" width="17.83203125" style="27" customWidth="1"/>
    <col min="11" max="11" width="39.25" style="27" customWidth="1"/>
    <col min="12" max="12" width="14.58203125" style="29" customWidth="1"/>
    <col min="13" max="38" width="13.08203125" style="2"/>
    <col min="39" max="39" width="13.1640625" style="2" customWidth="1"/>
    <col min="40" max="40" width="4.33203125" style="2" hidden="1" customWidth="1"/>
    <col min="41" max="16384" width="13.08203125" style="2"/>
  </cols>
  <sheetData>
    <row r="1" spans="1:12" ht="9.25" customHeight="1">
      <c r="A1" s="45" t="s">
        <v>1</v>
      </c>
      <c r="B1" s="46"/>
      <c r="C1" s="46"/>
      <c r="D1" s="46"/>
      <c r="E1" s="46"/>
      <c r="F1" s="46"/>
      <c r="G1" s="46"/>
      <c r="H1" s="46"/>
      <c r="I1" s="46"/>
      <c r="J1" s="46"/>
      <c r="K1" s="46"/>
      <c r="L1" s="47"/>
    </row>
    <row r="2" spans="1:12" ht="9.65" customHeight="1">
      <c r="A2" s="45"/>
      <c r="B2" s="46"/>
      <c r="C2" s="46"/>
      <c r="D2" s="46"/>
      <c r="E2" s="46"/>
      <c r="F2" s="46"/>
      <c r="G2" s="46"/>
      <c r="H2" s="46"/>
      <c r="I2" s="46"/>
      <c r="J2" s="46"/>
      <c r="K2" s="46"/>
      <c r="L2" s="47"/>
    </row>
    <row r="3" spans="1:12" ht="13.5" customHeight="1">
      <c r="A3" s="45"/>
      <c r="B3" s="46"/>
      <c r="C3" s="46"/>
      <c r="D3" s="46"/>
      <c r="E3" s="46"/>
      <c r="F3" s="46"/>
      <c r="G3" s="46"/>
      <c r="H3" s="46"/>
      <c r="I3" s="46"/>
      <c r="J3" s="46"/>
      <c r="K3" s="46"/>
      <c r="L3" s="47"/>
    </row>
    <row r="4" spans="1:12" ht="40" customHeight="1">
      <c r="A4" s="44" t="s">
        <v>266</v>
      </c>
      <c r="B4" s="44" t="s">
        <v>267</v>
      </c>
      <c r="C4" s="44" t="s">
        <v>268</v>
      </c>
      <c r="D4" s="44" t="s">
        <v>269</v>
      </c>
      <c r="E4" s="44" t="s">
        <v>270</v>
      </c>
      <c r="F4" s="44" t="s">
        <v>271</v>
      </c>
      <c r="G4" s="81" t="s">
        <v>272</v>
      </c>
      <c r="H4" s="44" t="s">
        <v>273</v>
      </c>
      <c r="I4" s="44" t="s">
        <v>274</v>
      </c>
      <c r="J4" s="44" t="s">
        <v>275</v>
      </c>
      <c r="K4" s="44" t="s">
        <v>276</v>
      </c>
      <c r="L4" s="80"/>
    </row>
    <row r="5" spans="1:12" s="26" customFormat="1" ht="54.5" customHeight="1">
      <c r="A5" s="43" t="s">
        <v>58</v>
      </c>
      <c r="B5" s="42" t="s">
        <v>73</v>
      </c>
      <c r="C5" s="42" t="s">
        <v>28</v>
      </c>
      <c r="D5" s="42" t="s">
        <v>74</v>
      </c>
      <c r="E5" s="42" t="s">
        <v>75</v>
      </c>
      <c r="F5" s="42" t="s">
        <v>76</v>
      </c>
      <c r="G5" s="82" t="s">
        <v>77</v>
      </c>
      <c r="H5" s="42" t="s">
        <v>78</v>
      </c>
      <c r="I5" s="41" t="s">
        <v>234</v>
      </c>
      <c r="J5" s="43" t="s">
        <v>215</v>
      </c>
      <c r="K5" s="41" t="s">
        <v>216</v>
      </c>
      <c r="L5" s="42" t="s">
        <v>2</v>
      </c>
    </row>
    <row r="6" spans="1:12" s="26" customFormat="1" ht="40" customHeight="1">
      <c r="A6" s="43" t="s">
        <v>59</v>
      </c>
      <c r="B6" s="42" t="s">
        <v>73</v>
      </c>
      <c r="C6" s="42" t="s">
        <v>28</v>
      </c>
      <c r="D6" s="42" t="s">
        <v>79</v>
      </c>
      <c r="E6" s="42" t="s">
        <v>34</v>
      </c>
      <c r="F6" s="42" t="s">
        <v>80</v>
      </c>
      <c r="G6" s="82" t="s">
        <v>81</v>
      </c>
      <c r="H6" s="42" t="s">
        <v>82</v>
      </c>
      <c r="I6" s="41" t="s">
        <v>235</v>
      </c>
      <c r="J6" s="43" t="s">
        <v>215</v>
      </c>
      <c r="K6" s="41" t="s">
        <v>216</v>
      </c>
      <c r="L6" s="42" t="s">
        <v>3</v>
      </c>
    </row>
    <row r="7" spans="1:12" s="26" customFormat="1" ht="40" customHeight="1">
      <c r="A7" s="43" t="s">
        <v>60</v>
      </c>
      <c r="B7" s="42" t="s">
        <v>73</v>
      </c>
      <c r="C7" s="42" t="s">
        <v>28</v>
      </c>
      <c r="D7" s="42" t="s">
        <v>83</v>
      </c>
      <c r="E7" s="42" t="s">
        <v>34</v>
      </c>
      <c r="F7" s="42" t="s">
        <v>84</v>
      </c>
      <c r="G7" s="82" t="s">
        <v>85</v>
      </c>
      <c r="H7" s="42" t="s">
        <v>86</v>
      </c>
      <c r="I7" s="41" t="s">
        <v>236</v>
      </c>
      <c r="J7" s="43" t="s">
        <v>215</v>
      </c>
      <c r="K7" s="41" t="s">
        <v>216</v>
      </c>
      <c r="L7" s="42" t="s">
        <v>4</v>
      </c>
    </row>
    <row r="8" spans="1:12" s="26" customFormat="1" ht="40" customHeight="1">
      <c r="A8" s="43" t="s">
        <v>61</v>
      </c>
      <c r="B8" s="42" t="s">
        <v>73</v>
      </c>
      <c r="C8" s="42" t="s">
        <v>28</v>
      </c>
      <c r="D8" s="42" t="s">
        <v>87</v>
      </c>
      <c r="E8" s="42" t="s">
        <v>75</v>
      </c>
      <c r="F8" s="42" t="s">
        <v>88</v>
      </c>
      <c r="G8" s="82" t="s">
        <v>89</v>
      </c>
      <c r="H8" s="42" t="s">
        <v>90</v>
      </c>
      <c r="I8" s="41" t="s">
        <v>237</v>
      </c>
      <c r="J8" s="43" t="s">
        <v>215</v>
      </c>
      <c r="K8" s="41" t="s">
        <v>218</v>
      </c>
      <c r="L8" s="42" t="s">
        <v>4</v>
      </c>
    </row>
    <row r="9" spans="1:12" s="26" customFormat="1" ht="40" customHeight="1">
      <c r="A9" s="43" t="s">
        <v>62</v>
      </c>
      <c r="B9" s="42" t="s">
        <v>73</v>
      </c>
      <c r="C9" s="42" t="s">
        <v>28</v>
      </c>
      <c r="D9" s="42" t="s">
        <v>91</v>
      </c>
      <c r="E9" s="42" t="s">
        <v>34</v>
      </c>
      <c r="F9" s="42" t="s">
        <v>92</v>
      </c>
      <c r="G9" s="82" t="s">
        <v>93</v>
      </c>
      <c r="H9" s="42" t="s">
        <v>94</v>
      </c>
      <c r="I9" s="41" t="s">
        <v>238</v>
      </c>
      <c r="J9" s="43" t="s">
        <v>215</v>
      </c>
      <c r="K9" s="41" t="s">
        <v>216</v>
      </c>
      <c r="L9" s="42" t="s">
        <v>4</v>
      </c>
    </row>
    <row r="10" spans="1:12" s="26" customFormat="1" ht="54.5" customHeight="1">
      <c r="A10" s="43" t="s">
        <v>63</v>
      </c>
      <c r="B10" s="42" t="s">
        <v>95</v>
      </c>
      <c r="C10" s="42" t="s">
        <v>28</v>
      </c>
      <c r="D10" s="42" t="s">
        <v>96</v>
      </c>
      <c r="E10" s="42" t="s">
        <v>75</v>
      </c>
      <c r="F10" s="42" t="s">
        <v>97</v>
      </c>
      <c r="G10" s="82" t="s">
        <v>98</v>
      </c>
      <c r="H10" s="42" t="s">
        <v>99</v>
      </c>
      <c r="I10" s="41" t="s">
        <v>239</v>
      </c>
      <c r="J10" s="43" t="s">
        <v>215</v>
      </c>
      <c r="K10" s="41" t="s">
        <v>219</v>
      </c>
      <c r="L10" s="42"/>
    </row>
    <row r="11" spans="1:12" s="26" customFormat="1" ht="40" customHeight="1">
      <c r="A11" s="43" t="s">
        <v>64</v>
      </c>
      <c r="B11" s="42" t="s">
        <v>95</v>
      </c>
      <c r="C11" s="42" t="s">
        <v>28</v>
      </c>
      <c r="D11" s="42" t="s">
        <v>100</v>
      </c>
      <c r="E11" s="42" t="s">
        <v>75</v>
      </c>
      <c r="F11" s="42" t="s">
        <v>101</v>
      </c>
      <c r="G11" s="82" t="s">
        <v>102</v>
      </c>
      <c r="H11" s="42" t="s">
        <v>103</v>
      </c>
      <c r="I11" s="41" t="s">
        <v>240</v>
      </c>
      <c r="J11" s="43" t="s">
        <v>215</v>
      </c>
      <c r="K11" s="41" t="s">
        <v>220</v>
      </c>
      <c r="L11" s="42"/>
    </row>
    <row r="12" spans="1:12" s="26" customFormat="1" ht="40" customHeight="1">
      <c r="A12" s="43" t="s">
        <v>65</v>
      </c>
      <c r="B12" s="42" t="s">
        <v>95</v>
      </c>
      <c r="C12" s="42" t="s">
        <v>28</v>
      </c>
      <c r="D12" s="42" t="s">
        <v>104</v>
      </c>
      <c r="E12" s="42" t="s">
        <v>75</v>
      </c>
      <c r="F12" s="42" t="s">
        <v>105</v>
      </c>
      <c r="G12" s="82" t="s">
        <v>106</v>
      </c>
      <c r="H12" s="42" t="s">
        <v>107</v>
      </c>
      <c r="I12" s="41" t="s">
        <v>241</v>
      </c>
      <c r="J12" s="43" t="s">
        <v>215</v>
      </c>
      <c r="K12" s="41" t="s">
        <v>220</v>
      </c>
      <c r="L12" s="42"/>
    </row>
    <row r="13" spans="1:12" s="26" customFormat="1" ht="40" customHeight="1">
      <c r="A13" s="43" t="s">
        <v>68</v>
      </c>
      <c r="B13" s="42" t="s">
        <v>95</v>
      </c>
      <c r="C13" s="42" t="s">
        <v>28</v>
      </c>
      <c r="D13" s="42" t="s">
        <v>108</v>
      </c>
      <c r="E13" s="42" t="s">
        <v>34</v>
      </c>
      <c r="F13" s="42" t="s">
        <v>109</v>
      </c>
      <c r="G13" s="82" t="s">
        <v>110</v>
      </c>
      <c r="H13" s="42" t="s">
        <v>111</v>
      </c>
      <c r="I13" s="41" t="s">
        <v>242</v>
      </c>
      <c r="J13" s="43" t="s">
        <v>215</v>
      </c>
      <c r="K13" s="41" t="s">
        <v>221</v>
      </c>
      <c r="L13" s="42"/>
    </row>
    <row r="14" spans="1:12" s="26" customFormat="1" ht="40" customHeight="1">
      <c r="A14" s="43" t="s">
        <v>282</v>
      </c>
      <c r="B14" s="42" t="s">
        <v>286</v>
      </c>
      <c r="C14" s="42" t="s">
        <v>28</v>
      </c>
      <c r="D14" s="42" t="s">
        <v>289</v>
      </c>
      <c r="E14" s="42" t="s">
        <v>75</v>
      </c>
      <c r="F14" s="42" t="s">
        <v>293</v>
      </c>
      <c r="G14" s="83" t="s">
        <v>294</v>
      </c>
      <c r="H14" s="41" t="s">
        <v>295</v>
      </c>
      <c r="I14" s="41" t="s">
        <v>296</v>
      </c>
      <c r="J14" s="43" t="s">
        <v>215</v>
      </c>
      <c r="K14" s="41" t="s">
        <v>219</v>
      </c>
      <c r="L14" s="42"/>
    </row>
    <row r="15" spans="1:12" s="26" customFormat="1" ht="40" customHeight="1">
      <c r="A15" s="43" t="s">
        <v>66</v>
      </c>
      <c r="B15" s="42" t="s">
        <v>286</v>
      </c>
      <c r="C15" s="42" t="s">
        <v>28</v>
      </c>
      <c r="D15" s="42" t="s">
        <v>290</v>
      </c>
      <c r="E15" s="42" t="s">
        <v>75</v>
      </c>
      <c r="F15" s="41" t="s">
        <v>297</v>
      </c>
      <c r="G15" s="83" t="s">
        <v>298</v>
      </c>
      <c r="H15" s="41" t="s">
        <v>299</v>
      </c>
      <c r="I15" s="41" t="s">
        <v>300</v>
      </c>
      <c r="J15" s="43" t="s">
        <v>215</v>
      </c>
      <c r="K15" s="41" t="s">
        <v>219</v>
      </c>
      <c r="L15" s="42"/>
    </row>
    <row r="16" spans="1:12" s="26" customFormat="1" ht="54.5" customHeight="1">
      <c r="A16" s="43" t="s">
        <v>67</v>
      </c>
      <c r="B16" s="42" t="s">
        <v>112</v>
      </c>
      <c r="C16" s="42" t="s">
        <v>28</v>
      </c>
      <c r="D16" s="42" t="s">
        <v>113</v>
      </c>
      <c r="E16" s="42" t="s">
        <v>75</v>
      </c>
      <c r="F16" s="42" t="s">
        <v>114</v>
      </c>
      <c r="G16" s="82" t="s">
        <v>115</v>
      </c>
      <c r="H16" s="42" t="s">
        <v>116</v>
      </c>
      <c r="I16" s="41" t="s">
        <v>244</v>
      </c>
      <c r="J16" s="43" t="s">
        <v>215</v>
      </c>
      <c r="K16" s="41" t="s">
        <v>222</v>
      </c>
      <c r="L16" s="42"/>
    </row>
    <row r="17" spans="1:12" s="26" customFormat="1" ht="40" customHeight="1">
      <c r="A17" s="43" t="s">
        <v>283</v>
      </c>
      <c r="B17" s="42" t="s">
        <v>112</v>
      </c>
      <c r="C17" s="42" t="s">
        <v>28</v>
      </c>
      <c r="D17" s="42" t="s">
        <v>117</v>
      </c>
      <c r="E17" s="42" t="s">
        <v>75</v>
      </c>
      <c r="F17" s="42" t="s">
        <v>118</v>
      </c>
      <c r="G17" s="82" t="s">
        <v>119</v>
      </c>
      <c r="H17" s="42" t="s">
        <v>120</v>
      </c>
      <c r="I17" s="41" t="s">
        <v>243</v>
      </c>
      <c r="J17" s="43" t="s">
        <v>215</v>
      </c>
      <c r="K17" s="41" t="s">
        <v>223</v>
      </c>
      <c r="L17" s="42"/>
    </row>
    <row r="18" spans="1:12" s="26" customFormat="1" ht="40" customHeight="1">
      <c r="A18" s="43" t="s">
        <v>284</v>
      </c>
      <c r="B18" s="42" t="s">
        <v>112</v>
      </c>
      <c r="C18" s="42" t="s">
        <v>28</v>
      </c>
      <c r="D18" s="42" t="s">
        <v>121</v>
      </c>
      <c r="E18" s="42" t="s">
        <v>122</v>
      </c>
      <c r="F18" s="42" t="s">
        <v>92</v>
      </c>
      <c r="G18" s="82" t="s">
        <v>123</v>
      </c>
      <c r="H18" s="42" t="s">
        <v>124</v>
      </c>
      <c r="I18" s="41" t="s">
        <v>245</v>
      </c>
      <c r="J18" s="43" t="s">
        <v>215</v>
      </c>
      <c r="K18" s="41" t="s">
        <v>224</v>
      </c>
      <c r="L18" s="42"/>
    </row>
    <row r="19" spans="1:12" s="26" customFormat="1" ht="40" customHeight="1">
      <c r="A19" s="43" t="s">
        <v>285</v>
      </c>
      <c r="B19" s="42" t="s">
        <v>287</v>
      </c>
      <c r="C19" s="42" t="s">
        <v>28</v>
      </c>
      <c r="D19" s="42" t="s">
        <v>288</v>
      </c>
      <c r="E19" s="42" t="s">
        <v>75</v>
      </c>
      <c r="F19" s="41" t="s">
        <v>301</v>
      </c>
      <c r="G19" s="83" t="s">
        <v>302</v>
      </c>
      <c r="H19" s="41" t="s">
        <v>303</v>
      </c>
      <c r="I19" s="41" t="s">
        <v>304</v>
      </c>
      <c r="J19" s="43" t="s">
        <v>215</v>
      </c>
      <c r="K19" s="41" t="s">
        <v>224</v>
      </c>
      <c r="L19" s="42"/>
    </row>
    <row r="20" spans="1:12" s="26" customFormat="1" ht="54.5" customHeight="1">
      <c r="A20" s="43" t="s">
        <v>198</v>
      </c>
      <c r="B20" s="42" t="s">
        <v>287</v>
      </c>
      <c r="C20" s="42" t="s">
        <v>28</v>
      </c>
      <c r="D20" s="42" t="s">
        <v>291</v>
      </c>
      <c r="E20" s="42" t="s">
        <v>75</v>
      </c>
      <c r="F20" s="41" t="s">
        <v>305</v>
      </c>
      <c r="G20" s="83" t="s">
        <v>311</v>
      </c>
      <c r="H20" s="41" t="s">
        <v>306</v>
      </c>
      <c r="I20" s="41" t="s">
        <v>307</v>
      </c>
      <c r="J20" s="43" t="s">
        <v>215</v>
      </c>
      <c r="K20" s="41" t="s">
        <v>224</v>
      </c>
      <c r="L20" s="42"/>
    </row>
    <row r="21" spans="1:12" s="26" customFormat="1" ht="40" customHeight="1">
      <c r="A21" s="43" t="s">
        <v>199</v>
      </c>
      <c r="B21" s="42" t="s">
        <v>287</v>
      </c>
      <c r="C21" s="42" t="s">
        <v>28</v>
      </c>
      <c r="D21" s="42" t="s">
        <v>292</v>
      </c>
      <c r="E21" s="42" t="s">
        <v>75</v>
      </c>
      <c r="F21" s="41" t="s">
        <v>305</v>
      </c>
      <c r="G21" s="83" t="s">
        <v>308</v>
      </c>
      <c r="H21" s="41" t="s">
        <v>309</v>
      </c>
      <c r="I21" s="41" t="s">
        <v>310</v>
      </c>
      <c r="J21" s="43" t="s">
        <v>215</v>
      </c>
      <c r="K21" s="41" t="s">
        <v>224</v>
      </c>
      <c r="L21" s="42"/>
    </row>
    <row r="22" spans="1:12" s="26" customFormat="1" ht="54.5" customHeight="1">
      <c r="A22" s="43" t="s">
        <v>200</v>
      </c>
      <c r="B22" s="42" t="s">
        <v>125</v>
      </c>
      <c r="C22" s="42" t="s">
        <v>28</v>
      </c>
      <c r="D22" s="42" t="s">
        <v>126</v>
      </c>
      <c r="E22" s="42" t="s">
        <v>34</v>
      </c>
      <c r="F22" s="42" t="s">
        <v>127</v>
      </c>
      <c r="G22" s="82" t="s">
        <v>128</v>
      </c>
      <c r="H22" s="42" t="s">
        <v>129</v>
      </c>
      <c r="I22" s="41" t="s">
        <v>246</v>
      </c>
      <c r="J22" s="43" t="s">
        <v>215</v>
      </c>
      <c r="K22" s="41" t="s">
        <v>221</v>
      </c>
      <c r="L22" s="42"/>
    </row>
    <row r="23" spans="1:12" s="26" customFormat="1" ht="54.5" customHeight="1">
      <c r="A23" s="43" t="s">
        <v>201</v>
      </c>
      <c r="B23" s="42" t="s">
        <v>130</v>
      </c>
      <c r="C23" s="42" t="s">
        <v>28</v>
      </c>
      <c r="D23" s="42" t="s">
        <v>131</v>
      </c>
      <c r="E23" s="42" t="s">
        <v>34</v>
      </c>
      <c r="F23" s="42" t="s">
        <v>132</v>
      </c>
      <c r="G23" s="82" t="s">
        <v>133</v>
      </c>
      <c r="H23" s="42" t="s">
        <v>134</v>
      </c>
      <c r="I23" s="41" t="s">
        <v>247</v>
      </c>
      <c r="J23" s="43" t="s">
        <v>215</v>
      </c>
      <c r="K23" s="41" t="s">
        <v>225</v>
      </c>
      <c r="L23" s="42" t="s">
        <v>4</v>
      </c>
    </row>
    <row r="24" spans="1:12" s="26" customFormat="1" ht="54.5" customHeight="1">
      <c r="A24" s="43" t="s">
        <v>277</v>
      </c>
      <c r="B24" s="42" t="s">
        <v>130</v>
      </c>
      <c r="C24" s="42" t="s">
        <v>28</v>
      </c>
      <c r="D24" s="42" t="s">
        <v>135</v>
      </c>
      <c r="E24" s="42" t="s">
        <v>34</v>
      </c>
      <c r="F24" s="42" t="s">
        <v>136</v>
      </c>
      <c r="G24" s="82" t="s">
        <v>137</v>
      </c>
      <c r="H24" s="42" t="s">
        <v>138</v>
      </c>
      <c r="I24" s="41" t="s">
        <v>248</v>
      </c>
      <c r="J24" s="43" t="s">
        <v>215</v>
      </c>
      <c r="K24" s="41" t="s">
        <v>226</v>
      </c>
      <c r="L24" s="42" t="s">
        <v>4</v>
      </c>
    </row>
    <row r="25" spans="1:12" ht="40" customHeight="1">
      <c r="A25" s="43" t="s">
        <v>278</v>
      </c>
      <c r="B25" s="42" t="s">
        <v>139</v>
      </c>
      <c r="C25" s="42" t="s">
        <v>28</v>
      </c>
      <c r="D25" s="42" t="s">
        <v>140</v>
      </c>
      <c r="E25" s="42" t="s">
        <v>75</v>
      </c>
      <c r="F25" s="42" t="s">
        <v>141</v>
      </c>
      <c r="G25" s="82" t="s">
        <v>142</v>
      </c>
      <c r="H25" s="42" t="s">
        <v>143</v>
      </c>
      <c r="I25" s="41" t="s">
        <v>249</v>
      </c>
      <c r="J25" s="43" t="s">
        <v>215</v>
      </c>
      <c r="K25" s="41" t="s">
        <v>227</v>
      </c>
      <c r="L25" s="42"/>
    </row>
    <row r="26" spans="1:12" ht="54.5" customHeight="1">
      <c r="A26" s="43" t="s">
        <v>279</v>
      </c>
      <c r="B26" s="42" t="s">
        <v>139</v>
      </c>
      <c r="C26" s="42" t="s">
        <v>28</v>
      </c>
      <c r="D26" s="42" t="s">
        <v>144</v>
      </c>
      <c r="E26" s="42" t="s">
        <v>75</v>
      </c>
      <c r="F26" s="42" t="s">
        <v>145</v>
      </c>
      <c r="G26" s="82" t="s">
        <v>146</v>
      </c>
      <c r="H26" s="42" t="s">
        <v>147</v>
      </c>
      <c r="I26" s="41" t="s">
        <v>250</v>
      </c>
      <c r="J26" s="43" t="s">
        <v>215</v>
      </c>
      <c r="K26" s="41" t="s">
        <v>228</v>
      </c>
      <c r="L26" s="42"/>
    </row>
    <row r="27" spans="1:12" ht="40" customHeight="1">
      <c r="A27" s="43" t="s">
        <v>280</v>
      </c>
      <c r="B27" s="42" t="s">
        <v>148</v>
      </c>
      <c r="C27" s="42" t="s">
        <v>28</v>
      </c>
      <c r="D27" s="42" t="s">
        <v>149</v>
      </c>
      <c r="E27" s="42" t="s">
        <v>75</v>
      </c>
      <c r="F27" s="42" t="s">
        <v>150</v>
      </c>
      <c r="G27" s="82" t="s">
        <v>151</v>
      </c>
      <c r="H27" s="42" t="s">
        <v>152</v>
      </c>
      <c r="I27" s="41" t="s">
        <v>251</v>
      </c>
      <c r="J27" s="43" t="s">
        <v>215</v>
      </c>
      <c r="K27" s="41" t="s">
        <v>229</v>
      </c>
      <c r="L27" s="42"/>
    </row>
    <row r="28" spans="1:12" ht="40" customHeight="1">
      <c r="A28" s="43" t="s">
        <v>281</v>
      </c>
      <c r="B28" s="42" t="s">
        <v>148</v>
      </c>
      <c r="C28" s="42" t="s">
        <v>28</v>
      </c>
      <c r="D28" s="42" t="s">
        <v>153</v>
      </c>
      <c r="E28" s="42" t="s">
        <v>34</v>
      </c>
      <c r="F28" s="42" t="s">
        <v>154</v>
      </c>
      <c r="G28" s="82" t="s">
        <v>155</v>
      </c>
      <c r="H28" s="42" t="s">
        <v>156</v>
      </c>
      <c r="I28" s="41" t="s">
        <v>252</v>
      </c>
      <c r="J28" s="43" t="s">
        <v>215</v>
      </c>
      <c r="K28" s="41" t="s">
        <v>229</v>
      </c>
      <c r="L28" s="42"/>
    </row>
    <row r="29" spans="1:12" ht="40" customHeight="1">
      <c r="A29" s="42" t="s">
        <v>202</v>
      </c>
      <c r="B29" s="42" t="s">
        <v>57</v>
      </c>
      <c r="C29" s="42" t="s">
        <v>57</v>
      </c>
      <c r="D29" s="42" t="s">
        <v>157</v>
      </c>
      <c r="E29" s="42" t="s">
        <v>34</v>
      </c>
      <c r="F29" s="42" t="s">
        <v>158</v>
      </c>
      <c r="G29" s="82" t="s">
        <v>159</v>
      </c>
      <c r="H29" s="42" t="s">
        <v>160</v>
      </c>
      <c r="I29" s="41" t="s">
        <v>253</v>
      </c>
      <c r="J29" s="43" t="s">
        <v>215</v>
      </c>
      <c r="K29" s="41" t="s">
        <v>230</v>
      </c>
      <c r="L29" s="42"/>
    </row>
    <row r="30" spans="1:12" ht="40" customHeight="1">
      <c r="A30" s="42" t="s">
        <v>203</v>
      </c>
      <c r="B30" s="42" t="s">
        <v>57</v>
      </c>
      <c r="C30" s="42" t="s">
        <v>57</v>
      </c>
      <c r="D30" s="42" t="s">
        <v>161</v>
      </c>
      <c r="E30" s="42" t="s">
        <v>75</v>
      </c>
      <c r="F30" s="42" t="s">
        <v>158</v>
      </c>
      <c r="G30" s="82" t="s">
        <v>162</v>
      </c>
      <c r="H30" s="42" t="s">
        <v>163</v>
      </c>
      <c r="I30" s="41" t="s">
        <v>254</v>
      </c>
      <c r="J30" s="43" t="s">
        <v>215</v>
      </c>
      <c r="K30" s="41" t="s">
        <v>230</v>
      </c>
      <c r="L30" s="42"/>
    </row>
    <row r="31" spans="1:12" ht="40" customHeight="1">
      <c r="A31" s="42" t="s">
        <v>204</v>
      </c>
      <c r="B31" s="42" t="s">
        <v>57</v>
      </c>
      <c r="C31" s="42" t="s">
        <v>57</v>
      </c>
      <c r="D31" s="42" t="s">
        <v>164</v>
      </c>
      <c r="E31" s="42" t="s">
        <v>34</v>
      </c>
      <c r="F31" s="42" t="s">
        <v>118</v>
      </c>
      <c r="G31" s="82" t="s">
        <v>165</v>
      </c>
      <c r="H31" s="42" t="s">
        <v>166</v>
      </c>
      <c r="I31" s="41" t="s">
        <v>255</v>
      </c>
      <c r="J31" s="43" t="s">
        <v>215</v>
      </c>
      <c r="K31" s="41" t="s">
        <v>230</v>
      </c>
      <c r="L31" s="42"/>
    </row>
    <row r="32" spans="1:12" ht="40" customHeight="1">
      <c r="A32" s="42" t="s">
        <v>205</v>
      </c>
      <c r="B32" s="42" t="s">
        <v>57</v>
      </c>
      <c r="C32" s="42" t="s">
        <v>57</v>
      </c>
      <c r="D32" s="42" t="s">
        <v>167</v>
      </c>
      <c r="E32" s="42" t="s">
        <v>34</v>
      </c>
      <c r="F32" s="42" t="s">
        <v>158</v>
      </c>
      <c r="G32" s="82" t="s">
        <v>168</v>
      </c>
      <c r="H32" s="42" t="s">
        <v>169</v>
      </c>
      <c r="I32" s="41" t="s">
        <v>256</v>
      </c>
      <c r="J32" s="43" t="s">
        <v>215</v>
      </c>
      <c r="K32" s="41" t="s">
        <v>230</v>
      </c>
      <c r="L32" s="42"/>
    </row>
    <row r="33" spans="1:12" ht="54.5" customHeight="1">
      <c r="A33" s="42" t="s">
        <v>206</v>
      </c>
      <c r="B33" s="42" t="s">
        <v>56</v>
      </c>
      <c r="C33" s="42" t="s">
        <v>56</v>
      </c>
      <c r="D33" s="42" t="s">
        <v>170</v>
      </c>
      <c r="E33" s="42" t="s">
        <v>75</v>
      </c>
      <c r="F33" s="42" t="s">
        <v>171</v>
      </c>
      <c r="G33" s="82" t="s">
        <v>172</v>
      </c>
      <c r="H33" s="42" t="s">
        <v>173</v>
      </c>
      <c r="I33" s="41" t="s">
        <v>257</v>
      </c>
      <c r="J33" s="43" t="s">
        <v>215</v>
      </c>
      <c r="K33" s="41" t="s">
        <v>231</v>
      </c>
      <c r="L33" s="42"/>
    </row>
    <row r="34" spans="1:12" ht="54.5" customHeight="1">
      <c r="A34" s="42" t="s">
        <v>207</v>
      </c>
      <c r="B34" s="42" t="s">
        <v>56</v>
      </c>
      <c r="C34" s="42" t="s">
        <v>56</v>
      </c>
      <c r="D34" s="42" t="s">
        <v>174</v>
      </c>
      <c r="E34" s="42" t="s">
        <v>75</v>
      </c>
      <c r="F34" s="42" t="s">
        <v>171</v>
      </c>
      <c r="G34" s="82" t="s">
        <v>175</v>
      </c>
      <c r="H34" s="42" t="s">
        <v>173</v>
      </c>
      <c r="I34" s="41" t="s">
        <v>258</v>
      </c>
      <c r="J34" s="43" t="s">
        <v>215</v>
      </c>
      <c r="K34" s="41" t="s">
        <v>231</v>
      </c>
      <c r="L34" s="42"/>
    </row>
    <row r="35" spans="1:12" ht="54.5" customHeight="1">
      <c r="A35" s="42" t="s">
        <v>208</v>
      </c>
      <c r="B35" s="42" t="s">
        <v>56</v>
      </c>
      <c r="C35" s="42" t="s">
        <v>56</v>
      </c>
      <c r="D35" s="42" t="s">
        <v>176</v>
      </c>
      <c r="E35" s="42" t="s">
        <v>75</v>
      </c>
      <c r="F35" s="42" t="s">
        <v>171</v>
      </c>
      <c r="G35" s="82" t="s">
        <v>177</v>
      </c>
      <c r="H35" s="42" t="s">
        <v>173</v>
      </c>
      <c r="I35" s="41" t="s">
        <v>259</v>
      </c>
      <c r="J35" s="43" t="s">
        <v>215</v>
      </c>
      <c r="K35" s="41" t="s">
        <v>231</v>
      </c>
      <c r="L35" s="42"/>
    </row>
    <row r="36" spans="1:12" ht="40" customHeight="1">
      <c r="A36" s="42" t="s">
        <v>209</v>
      </c>
      <c r="B36" s="42" t="s">
        <v>56</v>
      </c>
      <c r="C36" s="42" t="s">
        <v>56</v>
      </c>
      <c r="D36" s="42" t="s">
        <v>178</v>
      </c>
      <c r="E36" s="42" t="s">
        <v>34</v>
      </c>
      <c r="F36" s="42" t="s">
        <v>171</v>
      </c>
      <c r="G36" s="82" t="s">
        <v>179</v>
      </c>
      <c r="H36" s="42" t="s">
        <v>180</v>
      </c>
      <c r="I36" s="41" t="s">
        <v>260</v>
      </c>
      <c r="J36" s="43" t="s">
        <v>215</v>
      </c>
      <c r="K36" s="41" t="s">
        <v>231</v>
      </c>
      <c r="L36" s="42"/>
    </row>
    <row r="37" spans="1:12" ht="40" customHeight="1">
      <c r="A37" s="42" t="s">
        <v>210</v>
      </c>
      <c r="B37" s="42" t="s">
        <v>56</v>
      </c>
      <c r="C37" s="42" t="s">
        <v>56</v>
      </c>
      <c r="D37" s="42" t="s">
        <v>181</v>
      </c>
      <c r="E37" s="42" t="s">
        <v>34</v>
      </c>
      <c r="F37" s="42" t="s">
        <v>182</v>
      </c>
      <c r="G37" s="82" t="s">
        <v>183</v>
      </c>
      <c r="H37" s="42" t="s">
        <v>184</v>
      </c>
      <c r="I37" s="41" t="s">
        <v>261</v>
      </c>
      <c r="J37" s="43" t="s">
        <v>215</v>
      </c>
      <c r="K37" s="41" t="s">
        <v>231</v>
      </c>
      <c r="L37" s="42"/>
    </row>
    <row r="38" spans="1:12" ht="54.5" customHeight="1">
      <c r="A38" s="42" t="s">
        <v>211</v>
      </c>
      <c r="B38" s="42" t="s">
        <v>45</v>
      </c>
      <c r="C38" s="42" t="s">
        <v>45</v>
      </c>
      <c r="D38" s="42" t="s">
        <v>185</v>
      </c>
      <c r="E38" s="42" t="s">
        <v>75</v>
      </c>
      <c r="F38" s="42" t="s">
        <v>186</v>
      </c>
      <c r="G38" s="82" t="s">
        <v>187</v>
      </c>
      <c r="H38" s="42" t="s">
        <v>188</v>
      </c>
      <c r="I38" s="41" t="s">
        <v>262</v>
      </c>
      <c r="J38" s="43" t="s">
        <v>215</v>
      </c>
      <c r="K38" s="41" t="s">
        <v>233</v>
      </c>
      <c r="L38" s="42"/>
    </row>
    <row r="39" spans="1:12" ht="40" customHeight="1">
      <c r="A39" s="42" t="s">
        <v>212</v>
      </c>
      <c r="B39" s="42" t="s">
        <v>45</v>
      </c>
      <c r="C39" s="42" t="s">
        <v>45</v>
      </c>
      <c r="D39" s="42" t="s">
        <v>189</v>
      </c>
      <c r="E39" s="42" t="s">
        <v>75</v>
      </c>
      <c r="F39" s="42" t="s">
        <v>118</v>
      </c>
      <c r="G39" s="82" t="s">
        <v>190</v>
      </c>
      <c r="H39" s="42" t="s">
        <v>191</v>
      </c>
      <c r="I39" s="41" t="s">
        <v>263</v>
      </c>
      <c r="J39" s="43" t="s">
        <v>215</v>
      </c>
      <c r="K39" s="41" t="s">
        <v>232</v>
      </c>
      <c r="L39" s="42"/>
    </row>
    <row r="40" spans="1:12" ht="40" customHeight="1">
      <c r="A40" s="42" t="s">
        <v>213</v>
      </c>
      <c r="B40" s="42" t="s">
        <v>55</v>
      </c>
      <c r="C40" s="42" t="s">
        <v>55</v>
      </c>
      <c r="D40" s="42" t="s">
        <v>192</v>
      </c>
      <c r="E40" s="42" t="s">
        <v>75</v>
      </c>
      <c r="F40" s="42" t="s">
        <v>158</v>
      </c>
      <c r="G40" s="82" t="s">
        <v>193</v>
      </c>
      <c r="H40" s="42" t="s">
        <v>194</v>
      </c>
      <c r="I40" s="41" t="s">
        <v>264</v>
      </c>
      <c r="J40" s="43" t="s">
        <v>215</v>
      </c>
      <c r="K40" s="41" t="s">
        <v>217</v>
      </c>
      <c r="L40" s="42"/>
    </row>
    <row r="41" spans="1:12" ht="40" customHeight="1">
      <c r="A41" s="42" t="s">
        <v>214</v>
      </c>
      <c r="B41" s="42" t="s">
        <v>55</v>
      </c>
      <c r="C41" s="42" t="s">
        <v>55</v>
      </c>
      <c r="D41" s="42" t="s">
        <v>195</v>
      </c>
      <c r="E41" s="42" t="s">
        <v>34</v>
      </c>
      <c r="F41" s="42" t="s">
        <v>158</v>
      </c>
      <c r="G41" s="82" t="s">
        <v>196</v>
      </c>
      <c r="H41" s="42" t="s">
        <v>197</v>
      </c>
      <c r="I41" s="41" t="s">
        <v>265</v>
      </c>
      <c r="J41" s="43" t="s">
        <v>215</v>
      </c>
      <c r="K41" s="41" t="s">
        <v>217</v>
      </c>
      <c r="L41" s="42"/>
    </row>
    <row r="42" spans="1:12" ht="26.5" customHeight="1">
      <c r="B42" s="40"/>
      <c r="C42" s="40"/>
      <c r="D42" s="40"/>
      <c r="E42" s="40"/>
      <c r="F42" s="40"/>
      <c r="G42" s="40"/>
      <c r="H42" s="40"/>
      <c r="I42" s="40"/>
      <c r="J42" s="40"/>
    </row>
    <row r="43" spans="1:12" ht="26.5" customHeight="1">
      <c r="B43" s="40"/>
      <c r="C43" s="40"/>
      <c r="D43" s="40"/>
      <c r="E43" s="40"/>
      <c r="F43" s="40"/>
      <c r="G43" s="40"/>
      <c r="H43" s="40"/>
      <c r="I43" s="40"/>
      <c r="J43" s="40"/>
    </row>
    <row r="44" spans="1:12" ht="26.5" customHeight="1">
      <c r="B44" s="40"/>
      <c r="C44" s="40"/>
      <c r="D44" s="40"/>
      <c r="E44" s="40"/>
      <c r="F44" s="40"/>
      <c r="G44" s="40"/>
      <c r="H44" s="40"/>
      <c r="I44" s="40"/>
      <c r="J44" s="40"/>
    </row>
  </sheetData>
  <mergeCells count="1">
    <mergeCell ref="A1:L3"/>
  </mergeCells>
  <phoneticPr fontId="2" type="noConversion"/>
  <dataValidations count="4">
    <dataValidation type="list" allowBlank="1" showInputMessage="1" showErrorMessage="1" sqref="J4" xr:uid="{00000000-0002-0000-0100-000000000000}">
      <formula1>$V$5:$V$5</formula1>
    </dataValidation>
    <dataValidation type="list" allowBlank="1" showInputMessage="1" showErrorMessage="1" sqref="E5:E24" xr:uid="{00000000-0002-0000-0100-000001000000}">
      <formula1>"高,中,低"</formula1>
    </dataValidation>
    <dataValidation type="list" allowBlank="1" showInputMessage="1" showErrorMessage="1" sqref="J5:J64564" xr:uid="{00000000-0002-0000-0100-000003000000}">
      <formula1>"Y,N"</formula1>
    </dataValidation>
    <dataValidation type="list" allowBlank="1" showInputMessage="1" showErrorMessage="1" sqref="C1:C1048576" xr:uid="{00000000-0002-0000-0100-000004000000}">
      <formula1>"功能测试,性能测试,可靠性测试,安全性测试,兼容性测试,易用性测试,部署测试"</formula1>
    </dataValidation>
  </dataValidations>
  <pageMargins left="0.75" right="0.75" top="1" bottom="1" header="0.5" footer="0.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zoomScale="90" zoomScaleNormal="90" workbookViewId="0">
      <selection activeCell="A2" sqref="A2:A8"/>
    </sheetView>
  </sheetViews>
  <sheetFormatPr defaultColWidth="9" defaultRowHeight="13.5"/>
  <cols>
    <col min="1" max="1" width="17" style="34" customWidth="1"/>
    <col min="2" max="2" width="76.58203125" style="34" customWidth="1"/>
    <col min="3" max="16384" width="9" style="34"/>
  </cols>
  <sheetData>
    <row r="1" spans="1:2" ht="20.399999999999999" customHeight="1">
      <c r="A1" s="38" t="s">
        <v>53</v>
      </c>
      <c r="B1" s="39" t="s">
        <v>54</v>
      </c>
    </row>
    <row r="2" spans="1:2" ht="36.25" customHeight="1">
      <c r="A2" s="36" t="s">
        <v>10</v>
      </c>
      <c r="B2" s="35" t="s">
        <v>51</v>
      </c>
    </row>
    <row r="3" spans="1:2" ht="40.5">
      <c r="A3" s="37" t="s">
        <v>35</v>
      </c>
      <c r="B3" s="35" t="s">
        <v>50</v>
      </c>
    </row>
    <row r="4" spans="1:2" ht="49.75" customHeight="1">
      <c r="A4" s="37" t="s">
        <v>37</v>
      </c>
      <c r="B4" s="35" t="s">
        <v>49</v>
      </c>
    </row>
    <row r="5" spans="1:2" ht="67.5">
      <c r="A5" s="37" t="s">
        <v>38</v>
      </c>
      <c r="B5" s="35" t="s">
        <v>46</v>
      </c>
    </row>
    <row r="6" spans="1:2" ht="40.5">
      <c r="A6" s="37" t="s">
        <v>39</v>
      </c>
      <c r="B6" s="35" t="s">
        <v>52</v>
      </c>
    </row>
    <row r="7" spans="1:2" ht="67.5">
      <c r="A7" s="37" t="s">
        <v>36</v>
      </c>
      <c r="B7" s="35" t="s">
        <v>47</v>
      </c>
    </row>
    <row r="8" spans="1:2" ht="15">
      <c r="A8" s="37" t="s">
        <v>11</v>
      </c>
      <c r="B8" s="35" t="s">
        <v>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bjshen</dc:creator>
  <cp:lastModifiedBy>一哲 蒋</cp:lastModifiedBy>
  <dcterms:created xsi:type="dcterms:W3CDTF">2012-04-21T07:17:30Z</dcterms:created>
  <dcterms:modified xsi:type="dcterms:W3CDTF">2026-07-30T06:26:54Z</dcterms:modified>
</cp:coreProperties>
</file>